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执行总览" sheetId="1" state="visible" r:id="rId1"/>
    <sheet xmlns:r="http://schemas.openxmlformats.org/officeDocument/2006/relationships" name="01_闭环计划" sheetId="2" state="visible" r:id="rId2"/>
    <sheet xmlns:r="http://schemas.openxmlformats.org/officeDocument/2006/relationships" name="02_验收卡" sheetId="3" state="visible" r:id="rId3"/>
    <sheet xmlns:r="http://schemas.openxmlformats.org/officeDocument/2006/relationships" name="03_启动与门禁" sheetId="4" state="visible" r:id="rId4"/>
    <sheet xmlns:r="http://schemas.openxmlformats.org/officeDocument/2006/relationships" name="04_旧任务对照" sheetId="5" state="visible" r:id="rId5"/>
    <sheet xmlns:r="http://schemas.openxmlformats.org/officeDocument/2006/relationships" name="05_范围追溯" sheetId="6" state="visible" r:id="rId6"/>
    <sheet xmlns:r="http://schemas.openxmlformats.org/officeDocument/2006/relationships" name="06_执行实测" sheetId="7" state="visible" r:id="rId7"/>
    <sheet xmlns:r="http://schemas.openxmlformats.org/officeDocument/2006/relationships" name="07_原审阅索引" sheetId="8" state="visible" r:id="rId8"/>
    <sheet xmlns:r="http://schemas.openxmlformats.org/officeDocument/2006/relationships" name="08_模型分工与解锁" sheetId="9" state="visible" r:id="rId9"/>
    <sheet xmlns:r="http://schemas.openxmlformats.org/officeDocument/2006/relationships" name="09_执行记录" sheetId="10" state="visible" r:id="rId10"/>
    <sheet xmlns:r="http://schemas.openxmlformats.org/officeDocument/2006/relationships" name="10_当前包交接模板" sheetId="11" state="visible" r:id="rId11"/>
    <sheet xmlns:r="http://schemas.openxmlformats.org/officeDocument/2006/relationships" name="11_多智能体并行" sheetId="12" state="visible" r:id="rId12"/>
  </sheets>
  <definedNames>
    <definedName name="_xlnm._FilterDatabase" localSheetId="1" hidden="1">'01_闭环计划'!$A$5:$S$55</definedName>
    <definedName name="_xlnm.Print_Area" localSheetId="1">'01_闭环计划'!$A$1:$S$55</definedName>
    <definedName name="_xlnm._FilterDatabase" localSheetId="6" hidden="1">'06_执行实测'!$A$5:$C$20</definedName>
    <definedName name="_xlnm.Print_Titles" localSheetId="6">'06_执行实测'!$1:$5</definedName>
    <definedName name="_xlnm._FilterDatabase" localSheetId="8" hidden="1">'08_模型分工与解锁'!$A$5:$E$21</definedName>
    <definedName name="_xlnm.Print_Titles" localSheetId="8">'08_模型分工与解锁'!$1:$5</definedName>
    <definedName name="_xlnm._FilterDatabase" localSheetId="9" hidden="1">'09_执行记录'!$A$5:$P$2005</definedName>
    <definedName name="_xlnm.Print_Titles" localSheetId="9">'09_执行记录'!$1:$5</definedName>
    <definedName name="_xlnm.Print_Area" localSheetId="9">'09_执行记录'!$A$1:$P$25</definedName>
    <definedName name="_xlnm._FilterDatabase" localSheetId="10" hidden="1">'10_当前包交接模板'!$A$5:$C$15</definedName>
    <definedName name="_xlnm.Print_Titles" localSheetId="10">'10_当前包交接模板'!$1:$5</definedName>
    <definedName name="_xlnm._FilterDatabase" localSheetId="11" hidden="1">'11_多智能体并行'!$A$25:$K$29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yyyy-mm-dd hh:mm:ss"/>
    <numFmt numFmtId="167" formatCode="0.0000"/>
  </numFmts>
  <fonts count="23">
    <font>
      <name val="Carlito"/>
      <sz val="11"/>
    </font>
    <font>
      <name val="Microsoft YaHei"/>
      <color rgb="FF20384B"/>
      <sz val="10"/>
    </font>
    <font>
      <name val="Microsoft YaHei"/>
      <b val="1"/>
      <color rgb="FFFFFFFF"/>
      <sz val="20"/>
    </font>
    <font>
      <name val="Microsoft YaHei"/>
      <color rgb="FF5B6F80"/>
      <sz val="10"/>
    </font>
    <font>
      <name val="Microsoft YaHei"/>
      <b val="1"/>
      <color rgb="FFFFFFFF"/>
      <sz val="10"/>
    </font>
    <font>
      <name val="Microsoft YaHei"/>
      <b val="1"/>
      <color rgb="FF147D86"/>
      <sz val="10"/>
    </font>
    <font>
      <name val="Microsoft YaHei"/>
      <b val="1"/>
      <color rgb="FF147D86"/>
      <sz val="14"/>
    </font>
    <font>
      <name val="Microsoft YaHei"/>
      <b val="1"/>
      <color rgb="FFFFFFFF"/>
      <sz val="22"/>
    </font>
    <font>
      <name val="Microsoft YaHei"/>
      <color rgb="FF5B6F80"/>
      <sz val="11"/>
    </font>
    <font>
      <name val="Microsoft YaHei"/>
      <b val="1"/>
      <color rgb="FF152D43"/>
      <sz val="27"/>
    </font>
    <font>
      <name val="Microsoft YaHei"/>
      <color rgb="FF775713"/>
      <sz val="10"/>
    </font>
    <font>
      <name val="Microsoft YaHei"/>
      <b val="1"/>
      <color rgb="FFFFFFFF"/>
      <sz val="12"/>
    </font>
    <font>
      <name val="Microsoft YaHei"/>
      <color rgb="FF20384B"/>
      <sz val="11"/>
    </font>
    <font>
      <name val="Microsoft YaHei"/>
      <b val="1"/>
      <color rgb="FF20384B"/>
      <sz val="10"/>
    </font>
    <font>
      <name val="Microsoft YaHei"/>
      <b val="1"/>
      <color rgb="FF152D43"/>
      <sz val="10"/>
    </font>
    <font>
      <name val="Microsoft YaHei"/>
      <color rgb="FF5B6F80"/>
      <sz val="9"/>
    </font>
    <font>
      <name val="Microsoft YaHei"/>
      <color rgb="0017365D"/>
      <sz val="10"/>
    </font>
    <font>
      <name val="Microsoft YaHei"/>
      <b val="1"/>
      <color rgb="00FFFFFF"/>
      <sz val="16"/>
    </font>
    <font>
      <name val="Microsoft YaHei"/>
      <b val="1"/>
      <color rgb="00FFFFFF"/>
      <sz val="11"/>
    </font>
    <font>
      <name val="Microsoft YaHei"/>
      <color rgb="0000804A"/>
      <sz val="10"/>
    </font>
    <font>
      <name val="Microsoft YaHei"/>
      <sz val="11"/>
    </font>
    <font>
      <b val="1"/>
      <color rgb="00FFFFFF"/>
      <sz val="16"/>
    </font>
    <font>
      <b val="1"/>
      <color rgb="00FFFFFF"/>
    </font>
  </fonts>
  <fills count="18">
    <fill>
      <patternFill/>
    </fill>
    <fill>
      <patternFill patternType="gray125"/>
    </fill>
    <fill>
      <patternFill patternType="solid">
        <fgColor rgb="FF152D43"/>
      </patternFill>
    </fill>
    <fill>
      <patternFill patternType="solid">
        <fgColor rgb="FFF3F6F9"/>
      </patternFill>
    </fill>
    <fill>
      <patternFill patternType="solid">
        <fgColor rgb="FF147D86"/>
      </patternFill>
    </fill>
    <fill>
      <patternFill patternType="solid">
        <fgColor rgb="FFEAF2FA"/>
      </patternFill>
    </fill>
    <fill>
      <patternFill patternType="solid">
        <fgColor rgb="FFFFF1CC"/>
      </patternFill>
    </fill>
    <fill>
      <patternFill patternType="solid">
        <fgColor rgb="FFE8F3F3"/>
      </patternFill>
    </fill>
    <fill>
      <patternFill patternType="solid">
        <fgColor rgb="FFFFF3D8"/>
      </patternFill>
    </fill>
    <fill>
      <patternFill patternType="solid">
        <fgColor rgb="0017365D"/>
      </patternFill>
    </fill>
    <fill>
      <patternFill patternType="solid">
        <fgColor rgb="00EAF3FA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3">
    <border/>
    <border/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1"/>
  </cellStyleXfs>
  <cellXfs count="126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  <xf numFmtId="2" fontId="1" fillId="0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2" fontId="1" fillId="5" borderId="0" applyAlignment="1" pivotButton="0" quotePrefix="0" xfId="0">
      <alignment vertical="center" wrapText="1"/>
    </xf>
    <xf numFmtId="2" fontId="1" fillId="5" borderId="1" applyAlignment="1" pivotButton="0" quotePrefix="0" xfId="0">
      <alignment vertical="center" wrapText="1"/>
    </xf>
    <xf numFmtId="2" fontId="5" fillId="0" borderId="0" applyAlignment="1" pivotButton="0" quotePrefix="0" xfId="0">
      <alignment vertical="center" wrapText="1"/>
    </xf>
    <xf numFmtId="2" fontId="5" fillId="0" borderId="1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9" fontId="1" fillId="5" borderId="0" applyAlignment="1" pivotButton="0" quotePrefix="0" xfId="0">
      <alignment vertical="center" wrapText="1"/>
    </xf>
    <xf numFmtId="9" fontId="1" fillId="5" borderId="1" applyAlignment="1" pivotButton="0" quotePrefix="0" xfId="0">
      <alignment vertical="center" wrapText="1"/>
    </xf>
    <xf numFmtId="9" fontId="1" fillId="0" borderId="0" applyAlignment="1" pivotButton="0" quotePrefix="0" xfId="0">
      <alignment vertical="center" wrapText="1"/>
    </xf>
    <xf numFmtId="9" fontId="1" fillId="0" borderId="1" applyAlignment="1" pivotButton="0" quotePrefix="0" xfId="0">
      <alignment vertical="center" wrapText="1"/>
    </xf>
    <xf numFmtId="1" fontId="1" fillId="0" borderId="0" applyAlignment="1" pivotButton="0" quotePrefix="0" xfId="0">
      <alignment vertical="center" wrapText="1"/>
    </xf>
    <xf numFmtId="1" fontId="1" fillId="0" borderId="1" applyAlignment="1" pivotButton="0" quotePrefix="0" xfId="0">
      <alignment vertical="center" wrapText="1"/>
    </xf>
    <xf numFmtId="1" fontId="1" fillId="3" borderId="0" applyAlignment="1" pivotButton="0" quotePrefix="0" xfId="0">
      <alignment vertical="center" wrapText="1"/>
    </xf>
    <xf numFmtId="1" fontId="6" fillId="3" borderId="0" applyAlignment="1" pivotButton="0" quotePrefix="0" xfId="0">
      <alignment vertical="center" wrapText="1"/>
    </xf>
    <xf numFmtId="1" fontId="1" fillId="3" borderId="1" applyAlignment="1" pivotButton="0" quotePrefix="0" xfId="0">
      <alignment vertical="center" wrapText="1"/>
    </xf>
    <xf numFmtId="1" fontId="6" fillId="3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9" fillId="7" borderId="0" applyAlignment="1" pivotButton="0" quotePrefix="0" xfId="0">
      <alignment horizontal="center" vertical="center" wrapText="1"/>
    </xf>
    <xf numFmtId="0" fontId="1" fillId="7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9" fillId="7" borderId="1" applyAlignment="1" pivotButton="0" quotePrefix="0" xfId="0">
      <alignment horizontal="center" vertical="center" wrapText="1"/>
    </xf>
    <xf numFmtId="164" fontId="9" fillId="7" borderId="0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1" fontId="9" fillId="7" borderId="0" applyAlignment="1" pivotButton="0" quotePrefix="0" xfId="0">
      <alignment horizontal="center" vertical="center" wrapText="1"/>
    </xf>
    <xf numFmtId="1" fontId="9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vertical="center" wrapText="1"/>
    </xf>
    <xf numFmtId="0" fontId="10" fillId="8" borderId="0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0" fontId="11" fillId="2" borderId="1" applyAlignment="1" pivotButton="0" quotePrefix="0" xfId="0">
      <alignment vertical="center" wrapText="1"/>
    </xf>
    <xf numFmtId="0" fontId="12" fillId="3" borderId="0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3" fillId="3" borderId="1" applyAlignment="1" pivotButton="0" quotePrefix="0" xfId="0">
      <alignment vertical="center" wrapText="1"/>
    </xf>
    <xf numFmtId="2" fontId="1" fillId="7" borderId="0" applyAlignment="1" pivotButton="0" quotePrefix="0" xfId="0">
      <alignment vertical="center" wrapText="1"/>
    </xf>
    <xf numFmtId="0" fontId="14" fillId="7" borderId="0" applyAlignment="1" pivotButton="0" quotePrefix="0" xfId="0">
      <alignment vertical="center" wrapText="1"/>
    </xf>
    <xf numFmtId="2" fontId="14" fillId="7" borderId="0" applyAlignment="1" pivotButton="0" quotePrefix="0" xfId="0">
      <alignment vertical="center" wrapText="1"/>
    </xf>
    <xf numFmtId="2" fontId="1" fillId="7" borderId="1" applyAlignment="1" pivotButton="0" quotePrefix="0" xfId="0">
      <alignment vertical="center" wrapText="1"/>
    </xf>
    <xf numFmtId="0" fontId="14" fillId="7" borderId="1" applyAlignment="1" pivotButton="0" quotePrefix="0" xfId="0">
      <alignment vertical="center" wrapText="1"/>
    </xf>
    <xf numFmtId="2" fontId="14" fillId="7" borderId="1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15" fillId="3" borderId="0" applyAlignment="1" pivotButton="0" quotePrefix="0" xfId="0">
      <alignment vertical="center" wrapText="1"/>
    </xf>
    <xf numFmtId="164" fontId="9" fillId="7" borderId="1" applyAlignment="1" pivotButton="0" quotePrefix="0" xfId="0">
      <alignment horizontal="center" vertical="center" wrapText="1"/>
    </xf>
    <xf numFmtId="1" fontId="9" fillId="7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2" fontId="14" fillId="7" borderId="0" applyAlignment="1" pivotButton="0" quotePrefix="0" xfId="0">
      <alignment vertical="center" wrapText="1"/>
    </xf>
    <xf numFmtId="0" fontId="15" fillId="3" borderId="1" applyAlignment="1" pivotButton="0" quotePrefix="0" xfId="0">
      <alignment vertical="center" wrapText="1"/>
    </xf>
    <xf numFmtId="2" fontId="1" fillId="5" borderId="0" applyAlignment="1" pivotButton="0" quotePrefix="0" xfId="0">
      <alignment vertical="center" wrapText="1"/>
    </xf>
    <xf numFmtId="2" fontId="5" fillId="0" borderId="0" applyAlignment="1" pivotButton="0" quotePrefix="0" xfId="0">
      <alignment vertical="center" wrapText="1"/>
    </xf>
    <xf numFmtId="2" fontId="19" fillId="5" borderId="0" applyAlignment="1" pivotButton="0" quotePrefix="0" xfId="0">
      <alignment vertical="center" wrapText="1"/>
    </xf>
    <xf numFmtId="0" fontId="17" fillId="9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8" fillId="9" borderId="0" applyAlignment="1" pivotButton="0" quotePrefix="0" xfId="0">
      <alignment vertical="top" wrapText="1"/>
    </xf>
    <xf numFmtId="0" fontId="16" fillId="10" borderId="0" applyAlignment="1" pivotButton="0" quotePrefix="0" xfId="0">
      <alignment vertical="top" wrapText="1"/>
    </xf>
    <xf numFmtId="0" fontId="16" fillId="11" borderId="0" applyAlignment="1" pivotButton="0" quotePrefix="0" xfId="0">
      <alignment vertical="top" wrapText="1"/>
    </xf>
    <xf numFmtId="165" fontId="16" fillId="11" borderId="0" applyAlignment="1" pivotButton="0" quotePrefix="0" xfId="0">
      <alignment vertical="top" wrapText="1"/>
    </xf>
    <xf numFmtId="166" fontId="16" fillId="10" borderId="0" applyAlignment="1" pivotButton="0" quotePrefix="0" xfId="0">
      <alignment vertical="top" wrapText="1"/>
    </xf>
    <xf numFmtId="167" fontId="16" fillId="10" borderId="0" applyAlignment="1" pivotButton="0" quotePrefix="0" xfId="0">
      <alignment vertical="top" wrapText="1"/>
    </xf>
    <xf numFmtId="166" fontId="16" fillId="11" borderId="0" applyAlignment="1" pivotButton="0" quotePrefix="0" xfId="0">
      <alignment vertical="top" wrapText="1"/>
    </xf>
    <xf numFmtId="167" fontId="16" fillId="11" borderId="0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15" fillId="3" borderId="1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0" fillId="10" borderId="0" applyAlignment="1" pivotButton="0" quotePrefix="0" xfId="0">
      <alignment vertical="top" wrapText="1"/>
    </xf>
    <xf numFmtId="166" fontId="20" fillId="10" borderId="0" applyAlignment="1" pivotButton="0" quotePrefix="0" xfId="0">
      <alignment vertical="top" wrapText="1"/>
    </xf>
    <xf numFmtId="167" fontId="20" fillId="10" borderId="0" applyAlignment="1" pivotButton="0" quotePrefix="0" xfId="0">
      <alignment vertical="top" wrapText="1"/>
    </xf>
    <xf numFmtId="0" fontId="20" fillId="11" borderId="0" applyAlignment="1" pivotButton="0" quotePrefix="0" xfId="0">
      <alignment vertical="top" wrapText="1"/>
    </xf>
    <xf numFmtId="166" fontId="20" fillId="11" borderId="0" applyAlignment="1" pivotButton="0" quotePrefix="0" xfId="0">
      <alignment vertical="top" wrapText="1"/>
    </xf>
    <xf numFmtId="167" fontId="20" fillId="11" borderId="0" applyAlignment="1" pivotButton="0" quotePrefix="0" xfId="0">
      <alignment vertical="top" wrapText="1"/>
    </xf>
    <xf numFmtId="0" fontId="20" fillId="11" borderId="1" applyAlignment="1" pivotButton="0" quotePrefix="0" xfId="0">
      <alignment vertical="top" wrapText="1"/>
    </xf>
    <xf numFmtId="166" fontId="20" fillId="11" borderId="1" applyAlignment="1" pivotButton="0" quotePrefix="0" xfId="0">
      <alignment vertical="top" wrapText="1"/>
    </xf>
    <xf numFmtId="167" fontId="20" fillId="11" borderId="1" applyAlignment="1" pivotButton="0" quotePrefix="0" xfId="0">
      <alignment vertical="top" wrapText="1"/>
    </xf>
    <xf numFmtId="0" fontId="21" fillId="12" borderId="1" applyAlignment="1" pivotButton="0" quotePrefix="0" xfId="0">
      <alignment horizontal="left" vertical="center"/>
    </xf>
    <xf numFmtId="0" fontId="0" fillId="13" borderId="1" applyAlignment="1" pivotButton="0" quotePrefix="0" xfId="0">
      <alignment vertical="top" wrapText="1"/>
    </xf>
    <xf numFmtId="0" fontId="22" fillId="12" borderId="0" pivotButton="0" quotePrefix="0" xfId="0"/>
    <xf numFmtId="0" fontId="22" fillId="12" borderId="2" applyAlignment="1" pivotButton="0" quotePrefix="0" xfId="0">
      <alignment vertical="center" wrapText="1"/>
    </xf>
    <xf numFmtId="0" fontId="0" fillId="14" borderId="2" applyAlignment="1" pivotButton="0" quotePrefix="0" xfId="0">
      <alignment vertical="top" wrapText="1"/>
    </xf>
    <xf numFmtId="0" fontId="0" fillId="11" borderId="2" applyAlignment="1" pivotButton="0" quotePrefix="0" xfId="0">
      <alignment vertical="top" wrapText="1"/>
    </xf>
    <xf numFmtId="0" fontId="22" fillId="12" borderId="2" pivotButton="0" quotePrefix="0" xfId="0"/>
    <xf numFmtId="0" fontId="0" fillId="15" borderId="2" applyAlignment="1" pivotButton="0" quotePrefix="0" xfId="0">
      <alignment vertical="top" wrapText="1"/>
    </xf>
    <xf numFmtId="0" fontId="0" fillId="16" borderId="2" applyAlignment="1" pivotButton="0" quotePrefix="0" xfId="0">
      <alignment vertical="top" wrapText="1"/>
    </xf>
    <xf numFmtId="0" fontId="0" fillId="17" borderId="2" applyAlignment="1" pivotButton="0" quotePrefix="0" xfId="0">
      <alignment vertical="top" wrapText="1"/>
    </xf>
    <xf numFmtId="0" fontId="16" fillId="10" borderId="1" applyAlignment="1" pivotButton="0" quotePrefix="0" xfId="0">
      <alignment vertical="top" wrapText="1"/>
    </xf>
    <xf numFmtId="166" fontId="16" fillId="10" borderId="1" applyAlignment="1" pivotButton="0" quotePrefix="0" xfId="0">
      <alignment vertical="top" wrapText="1"/>
    </xf>
    <xf numFmtId="167" fontId="16" fillId="1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6">
    <dxf>
      <fill>
        <patternFill patternType="solid">
          <bgColor rgb="FFFCE8E6"/>
        </patternFill>
      </fill>
    </dxf>
    <dxf>
      <fill>
        <patternFill patternType="solid">
          <bgColor rgb="FFFFF1CC"/>
        </patternFill>
      </fill>
    </dxf>
    <dxf>
      <fill>
        <patternFill patternType="solid">
          <bgColor rgb="FFDDF2E6"/>
        </patternFill>
      </fill>
    </dxf>
    <dxf>
      <fill>
        <patternFill patternType="solid">
          <bgColor rgb="FFDDF2E6"/>
        </patternFill>
      </fill>
    </dxf>
    <dxf>
      <fill>
        <patternFill patternType="solid">
          <bgColor rgb="FFDDEBFB"/>
        </patternFill>
      </fill>
    </dxf>
    <dxf>
      <fill>
        <patternFill patternType="solid">
          <bgColor rgb="FFE5F2F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Codex</author>
  </authors>
  <commentList>
    <comment ref="I6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7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8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9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0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1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2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3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4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5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6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7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8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9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0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1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2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3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4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5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6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7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8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9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0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1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2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3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4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5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6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7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8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9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0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1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2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3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4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5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6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7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8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9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50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51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52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53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54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55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</commentList>
</comments>
</file>

<file path=xl/tables/table1.xml><?xml version="1.0" encoding="utf-8"?>
<table xmlns="http://schemas.openxmlformats.org/spreadsheetml/2006/main" id="1" name="Phase1Plan" displayName="Phase1Plan" ref="A5:P55" headerRowCount="1" totalsRowCount="0" totalsRowShown="0">
  <tableColumns count="16">
    <tableColumn id="1" name="新编号"/>
    <tableColumn id="2" name="执行分组"/>
    <tableColumn id="3" name="功能闭环"/>
    <tableColumn id="4" name="当前状态"/>
    <tableColumn id="5" name="负责人"/>
    <tableColumn id="6" name="开工前置 MUST"/>
    <tableColumn id="7" name="联调前置 INTEG"/>
    <tableColumn id="8" name="必过门禁"/>
    <tableColumn id="9" name="剩余低_x000a_人日"/>
    <tableColumn id="10" name="参考剩余_x000a_人日"/>
    <tableColumn id="11" name="剩余高_x000a_人日"/>
    <tableColumn id="12" name="实际累计_x000a_人日"/>
    <tableColumn id="13" name="接口可用性"/>
    <tableColumn id="14" name="证据 / 当前阻塞"/>
    <tableColumn id="15" name="原任务归属"/>
    <tableColumn id="16" name="开工依赖_x000a_层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ceptanceCards" displayName="AcceptanceCards" ref="A5:H55" headerRowCount="1" totalsRowCount="0" totalsRowShown="0">
  <tableColumns count="8">
    <tableColumn id="1" name="新编号"/>
    <tableColumn id="2" name="功能包"/>
    <tableColumn id="3" name="接手后的第一步"/>
    <tableColumn id="4" name="核心通过标准"/>
    <tableColumn id="5" name="整包验收 / 停止条件"/>
    <tableColumn id="6" name="验证批次"/>
    <tableColumn id="7" name="原代码定位线索"/>
    <tableColumn id="8" name="旧任务 / 原表行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rtAndGates" displayName="StartAndGates" ref="A5:H38" headerRowCount="1" totalsRowCount="0" totalsRowShown="0">
  <tableColumns count="8">
    <tableColumn id="1" name="类型"/>
    <tableColumn id="2" name="时段 / 编号"/>
    <tableColumn id="3" name="目标 / 规则"/>
    <tableColumn id="4" name="具体动作 / 准入"/>
    <tableColumn id="5" name="不能做 / 停止条件"/>
    <tableColumn id="6" name="交付证据"/>
    <tableColumn id="7" name="责任 / 资源"/>
    <tableColumn id="8" name="口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egacyTaskMap" displayName="LegacyTaskMap" ref="A5:L125" headerRowCount="1" totalsRowCount="0" totalsRowShown="0">
  <tableColumns count="12">
    <tableColumn id="1" name="原T"/>
    <tableColumn id="2" name="原任务名称"/>
    <tableColumn id="3" name="原状态"/>
    <tableColumn id="4" name="原负责人"/>
    <tableColumn id="5" name="新包"/>
    <tableColumn id="6" name="新包状态"/>
    <tableColumn id="7" name="原进度 / 证据（原文）"/>
    <tableColumn id="8" name="迁移提醒"/>
    <tableColumn id="9" name="原验收（原文）"/>
    <tableColumn id="10" name="原契约（原文）"/>
    <tableColumn id="11" name="原前置（只留痕）"/>
    <tableColumn id="12" name="原表位置 / 来源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copeTrace" displayName="ScopeTrace" ref="A5:H68" headerRowCount="1" totalsRowCount="0" totalsRowShown="0">
  <tableColumns count="8">
    <tableColumn id="1" name="类别"/>
    <tableColumn id="2" name="原编号"/>
    <tableColumn id="3" name="需求 / 目录名称"/>
    <tableColumn id="4" name="原要求 / 处理说明"/>
    <tableColumn id="5" name="新包归属"/>
    <tableColumn id="6" name="验收状态（维护）"/>
    <tableColumn id="7" name="约束 / 需求属性"/>
    <tableColumn id="8" name="原表位置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uditReference" displayName="AuditReference" ref="A5:L68" headerRowCount="1" totalsRowCount="0" totalsRowShown="0">
  <tableColumns count="12">
    <tableColumn id="1" name="原B"/>
    <tableColumn id="2" name="级别"/>
    <tableColumn id="3" name="原结论类型"/>
    <tableColumn id="4" name="原状态"/>
    <tableColumn id="5" name="模块 / 问题缺口"/>
    <tableColumn id="6" name="原源码证据"/>
    <tableColumn id="7" name="原核查方法"/>
    <tableColumn id="8" name="原修复指导"/>
    <tableColumn id="9" name="原验收"/>
    <tableColumn id="10" name="旧T → 新包"/>
    <tableColumn id="11" name="原负责人 / 提交证据"/>
    <tableColumn id="12" name="原位置 / 来源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44" customHeight="1">
      <c r="A1" s="43" t="inlineStr">
        <is>
          <t>LAMDA 云控｜一期智能体执行计划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5" customHeight="1">
      <c r="A2" s="45" t="inlineStr">
        <is>
          <t>2026-09-10 智能体执行版｜当前验收=现有 OnePlus 9R b0644fb5 单机分阶段。Note9/10台/100模拟为后期扩展（非已通过、非删除）。网页高级模型定方案，本地模型实施，达到触发条件才升级诊断。原功能与安全门禁在当前机上仍须满足，不预估人力工期。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4" customHeight="1">
      <c r="A5" s="47" t="inlineStr">
        <is>
          <t>原任务映射</t>
        </is>
      </c>
      <c r="B5" s="1" t="n"/>
      <c r="C5" s="1" t="n"/>
      <c r="D5" s="47" t="inlineStr">
        <is>
          <t>新包总数 / 仍需推进</t>
        </is>
      </c>
      <c r="E5" s="1" t="n"/>
      <c r="F5" s="1" t="n"/>
      <c r="G5" s="47" t="inlineStr">
        <is>
          <t>已记录执行轮次</t>
        </is>
      </c>
      <c r="H5" s="1" t="n"/>
      <c r="I5" s="1" t="n"/>
      <c r="J5" s="47" t="inlineStr">
        <is>
          <t>开工图最长 · 层</t>
        </is>
      </c>
      <c r="K5" s="1" t="n"/>
      <c r="L5" s="1" t="n"/>
    </row>
    <row r="6" ht="32" customHeight="1">
      <c r="A6" s="53">
        <f>COUNTA('04_旧任务对照'!A6:A125)&amp;" / 120"</f>
        <v/>
      </c>
      <c r="B6" s="1" t="n"/>
      <c r="C6" s="1" t="n"/>
      <c r="D6" s="53">
        <f>COUNTA('01_闭环计划'!A6:A55)&amp;" / "&amp;(COUNTA('01_闭环计划'!A6:A55)-COUNTIF('01_闭环计划'!D6:D55,"沿用完成")-COUNTIF('01_闭环计划'!D6:D55,"验收通过"))</f>
        <v/>
      </c>
      <c r="E6" s="1" t="n"/>
      <c r="F6" s="1" t="n"/>
      <c r="G6" s="77">
        <f>SUM('01_闭环计划'!J6:J55)</f>
        <v/>
      </c>
      <c r="H6" s="1" t="n"/>
      <c r="I6" s="1" t="n"/>
      <c r="J6" s="78">
        <f>MAX('01_闭环计划'!P6:P55)</f>
        <v/>
      </c>
      <c r="K6" s="1" t="n"/>
      <c r="L6" s="1" t="n"/>
    </row>
    <row r="7" ht="32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24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27" customHeight="1">
      <c r="A9" s="61" t="inlineStr">
        <is>
          <t>边界：50包含P00已完成成果归档，P14另已单机验收，48包仍需推进。6层=5条开工依赖边；原图20条边包含验收前置，两种口径不等于交付工期对比。新包状态不会因合并自动变完成。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 ht="27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 ht="24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30" customHeight="1">
      <c r="A12" s="63" t="inlineStr">
        <is>
          <t>当前执行模式：Root + 最多3个隔离写入子智能体；P14 WEB/CONTROL/ANDROID已合并并完成OnePlus单机版本生命周期验收。当前继续按READY规则安排P09/G3检查及P15等独立模块，设备/部署仍单队列。
2026-09-15回填：integration/p14-20260909@50b4fda。闲鱼维护三件套（擦亮/下架/删除）经受控账本GATED全部真机闭环；IM聚合（范围变更，原二期提前）真机验收通过；投屏/远控第一片集成待Q04真机；DY预提交验证过、真实发布未执行（用户指示）。09表追加5行回填，01表P09/P10/P11/P28/P29/P30按真机证据更新。权威活动计划：lamda_yun_一期计划_多智能体版.xlsx（任务状态以新表01为准）。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 ht="26" customHeight="1">
      <c r="A13" s="98" t="inlineStr">
        <is>
          <t>2026-09-10：集成分支 integration/p14-20260909，P14运行修复80a5de9/1ca0c1a，设备故障测试033e5ac/5eaa2f1。已建立独立worktree；不再重复WAIT_BASELINE。P14已解锁P15，但P15及G3尚未验收。</t>
        </is>
      </c>
    </row>
    <row r="14" ht="26" customHeight="1">
      <c r="A14" t="inlineStr">
        <is>
          <t>2026-09-15：订单同步slice1全链闭环（集成c113f0e已推送；首尔orders-7adc827；真机双方向验收6单入库；后端626/1·Android339·Web178）。现在先做：维护新路径W4增量实现（标题定位→详情→管理菜单，锚点契约已冻结，GATED删除/下架复验须用户逐件授权）→ 订单slice2（详情页订单号/断点续传）</t>
        </is>
      </c>
      <c r="B14" s="125" t="inlineStr">
        <is>
          <t>修复companion暂停任务生命周期(服务器取消不下发→本地PAUSED行永久卡队列，Q02-B真机场景的前置)；顺带runbook化无障碍重启用设置搜索路径</t>
        </is>
      </c>
    </row>
    <row r="15" ht="26" customHeight="1">
      <c r="A15" t="inlineStr">
        <is>
          <t>2026-09-16：P09 claim断开安全释放协议完成实现+两轮对抗审阅闭环（仅CLAIMED/PREFLIGHT可释放；B1卡死/B2churn已修；Android 409、后端44测试通过）。旧UNKNOWN任务保持KEEP_WAITING严禁重试。现在先做：等待用户裁决UNKNOWN（人工核验“如果历史是一群喵4”是否仍存在）；部署/真机联调需用户逐项授权。</t>
        </is>
      </c>
      <c r="B15" s="125" t="inlineStr">
        <is>
          <t>修复companion暂停任务生命周期(服务器取消不下发→本地PAUSED行永久卡队列，Q02-B真机场景的前置)；顺带runbook化无障碍重启用设置搜索路径</t>
        </is>
      </c>
    </row>
    <row r="16" ht="26" customHeight="1"/>
    <row r="17" ht="24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26" customHeight="1">
      <c r="A18" s="19" t="inlineStr">
        <is>
          <t>执行实测｜累计分钟不等于日历工期</t>
        </is>
      </c>
      <c r="B18" s="1" t="n"/>
      <c r="C18" s="1" t="n"/>
      <c r="D18" s="1" t="n"/>
      <c r="E18" s="1" t="n"/>
      <c r="F18" s="1" t="n"/>
      <c r="G18" s="4" t="n"/>
      <c r="H18" s="19" t="inlineStr">
        <is>
          <t>上传快照｜原进度</t>
        </is>
      </c>
      <c r="I18" s="1" t="n"/>
      <c r="J18" s="1" t="n"/>
      <c r="K18" s="1" t="n"/>
      <c r="L18" s="1" t="n"/>
    </row>
    <row r="19" ht="24" customHeight="1">
      <c r="A19" s="66" t="inlineStr">
        <is>
          <t>执行分组</t>
        </is>
      </c>
      <c r="B19" s="66" t="inlineStr">
        <is>
          <t>包数</t>
        </is>
      </c>
      <c r="C19" s="66" t="inlineStr">
        <is>
          <t>验收通过</t>
        </is>
      </c>
      <c r="D19" s="66" t="inlineStr">
        <is>
          <t>执行轮次</t>
        </is>
      </c>
      <c r="E19" s="66" t="inlineStr">
        <is>
          <t>主动分钟*</t>
        </is>
      </c>
      <c r="F19" s="66" t="inlineStr">
        <is>
          <t>已知成本¥*</t>
        </is>
      </c>
      <c r="G19" s="4" t="n"/>
      <c r="H19" s="67" t="inlineStr">
        <is>
          <t>原任务状态</t>
        </is>
      </c>
      <c r="I19" s="1" t="n"/>
      <c r="J19" s="1" t="n"/>
      <c r="K19" s="1" t="n"/>
      <c r="L19" s="66" t="inlineStr">
        <is>
          <t>项数</t>
        </is>
      </c>
    </row>
    <row r="20" ht="30" customHeight="1">
      <c r="A20" s="4" t="inlineStr">
        <is>
          <t>继承</t>
        </is>
      </c>
      <c r="B20" s="4">
        <f>COUNTIF('01_闭环计划'!B6:B55,A20)</f>
        <v/>
      </c>
      <c r="C20" s="4" t="n">
        <v>1</v>
      </c>
      <c r="D20" s="79" t="n">
        <v>1</v>
      </c>
      <c r="E20" s="80">
        <f>IF(SUMPRODUCT(--ISNUMBER('01_闭环计划'!K6:K55),--('01_闭环计划'!B6:B55=A20))=0,"",SUMIF('01_闭环计划'!B6:B55,A20,'01_闭环计划'!K6:K55))</f>
        <v/>
      </c>
      <c r="F20" s="80">
        <f>IF(SUMPRODUCT(--ISNUMBER('01_闭环计划'!L6:L55),--('01_闭环计划'!B6:B55=A20))=0,"",SUMIF('01_闭环计划'!B6:B55,A20,'01_闭环计划'!L6:L55))</f>
        <v/>
      </c>
      <c r="G20" s="4" t="n"/>
      <c r="H20" s="7" t="inlineStr">
        <is>
          <t>已完成</t>
        </is>
      </c>
      <c r="I20" s="1" t="n"/>
      <c r="J20" s="1" t="n"/>
      <c r="K20" s="1" t="n"/>
      <c r="L20" s="81">
        <f>COUNTIF('04_旧任务对照'!C6:C125,H20)</f>
        <v/>
      </c>
    </row>
    <row r="21" ht="30" customHeight="1">
      <c r="A21" s="4" t="inlineStr">
        <is>
          <t>主链路</t>
        </is>
      </c>
      <c r="B21" s="4">
        <f>COUNTIF('01_闭环计划'!B6:B55,A21)</f>
        <v/>
      </c>
      <c r="C21" s="4" t="n">
        <v>2</v>
      </c>
      <c r="D21" s="79">
        <f>SUMIF('01_闭环计划'!B6:B55,A21,'01_闭环计划'!J6:J55)</f>
        <v/>
      </c>
      <c r="E21" s="80">
        <f>IF(SUMPRODUCT(--ISNUMBER('01_闭环计划'!K6:K55),--('01_闭环计划'!B6:B55=A21))=0,"",SUMIF('01_闭环计划'!B6:B55,A21,'01_闭环计划'!K6:K55))</f>
        <v/>
      </c>
      <c r="F21" s="80">
        <f>IF(SUMPRODUCT(--ISNUMBER('01_闭环计划'!L6:L55),--('01_闭环计划'!B6:B55=A21))=0,"",SUMIF('01_闭环计划'!B6:B55,A21,'01_闭环计划'!L6:L55))</f>
        <v/>
      </c>
      <c r="G21" s="4" t="n"/>
      <c r="H21" s="7" t="inlineStr">
        <is>
          <t>进行中</t>
        </is>
      </c>
      <c r="I21" s="1" t="n"/>
      <c r="J21" s="1" t="n"/>
      <c r="K21" s="1" t="n"/>
      <c r="L21" s="81">
        <f>COUNTIF('04_旧任务对照'!C6:C125,H21)</f>
        <v/>
      </c>
    </row>
    <row r="22" ht="30" customHeight="1">
      <c r="A22" s="4" t="inlineStr">
        <is>
          <t>设备与底座</t>
        </is>
      </c>
      <c r="B22" s="4">
        <f>COUNTIF('01_闭环计划'!B6:B55,A22)</f>
        <v/>
      </c>
      <c r="C22" s="4">
        <f>COUNTIFS('01_闭环计划'!B6:B55,A22,'01_闭环计划'!D6:D55,"验收通过")</f>
        <v/>
      </c>
      <c r="D22" s="79">
        <f>SUMIF('01_闭环计划'!B6:B55,A22,'01_闭环计划'!J6:J55)</f>
        <v/>
      </c>
      <c r="E22" s="80">
        <f>IF(SUMPRODUCT(--ISNUMBER('01_闭环计划'!K6:K55),--('01_闭环计划'!B6:B55=A22))=0,"",SUMIF('01_闭环计划'!B6:B55,A22,'01_闭环计划'!K6:K55))</f>
        <v/>
      </c>
      <c r="F22" s="80">
        <f>IF(SUMPRODUCT(--ISNUMBER('01_闭环计划'!L6:L55),--('01_闭环计划'!B6:B55=A22))=0,"",SUMIF('01_闭环计划'!B6:B55,A22,'01_闭环计划'!L6:L55))</f>
        <v/>
      </c>
      <c r="G22" s="4" t="n"/>
      <c r="H22" s="7" t="inlineStr">
        <is>
          <t>待联调</t>
        </is>
      </c>
      <c r="I22" s="1" t="n"/>
      <c r="J22" s="1" t="n"/>
      <c r="K22" s="1" t="n"/>
      <c r="L22" s="81">
        <f>COUNTIF('04_旧任务对照'!C6:C125,H22)</f>
        <v/>
      </c>
    </row>
    <row r="23" ht="30" customHeight="1">
      <c r="A23" s="4" t="inlineStr">
        <is>
          <t>双平台发布</t>
        </is>
      </c>
      <c r="B23" s="4">
        <f>COUNTIF('01_闭环计划'!B6:B55,A23)</f>
        <v/>
      </c>
      <c r="C23" s="4">
        <f>COUNTIFS('01_闭环计划'!B6:B55,A23,'01_闭环计划'!D6:D55,"验收通过")</f>
        <v/>
      </c>
      <c r="D23" s="79">
        <f>SUMIF('01_闭环计划'!B6:B55,A23,'01_闭环计划'!J6:J55)</f>
        <v/>
      </c>
      <c r="E23" s="80">
        <f>IF(SUMPRODUCT(--ISNUMBER('01_闭环计划'!K6:K55),--('01_闭环计划'!B6:B55=A23))=0,"",SUMIF('01_闭环计划'!B6:B55,A23,'01_闭环计划'!K6:K55))</f>
        <v/>
      </c>
      <c r="F23" s="80">
        <f>IF(SUMPRODUCT(--ISNUMBER('01_闭环计划'!L6:L55),--('01_闭环计划'!B6:B55=A23))=0,"",SUMIF('01_闭环计划'!B6:B55,A23,'01_闭环计划'!L6:L55))</f>
        <v/>
      </c>
      <c r="G23" s="4" t="n"/>
      <c r="H23" s="7" t="inlineStr">
        <is>
          <t>未开始</t>
        </is>
      </c>
      <c r="I23" s="1" t="n"/>
      <c r="J23" s="1" t="n"/>
      <c r="K23" s="1" t="n"/>
      <c r="L23" s="81">
        <f>COUNTIF('04_旧任务对照'!C6:C125,H23)</f>
        <v/>
      </c>
    </row>
    <row r="24" ht="30" customHeight="1">
      <c r="A24" s="4" t="inlineStr">
        <is>
          <t>闲鱼与采集</t>
        </is>
      </c>
      <c r="B24" s="4">
        <f>COUNTIF('01_闭环计划'!B6:B55,A24)</f>
        <v/>
      </c>
      <c r="C24" s="4">
        <f>COUNTIFS('01_闭环计划'!B6:B55,A24,'01_闭环计划'!D6:D55,"验收通过")</f>
        <v/>
      </c>
      <c r="D24" s="79">
        <f>SUMIF('01_闭环计划'!B6:B55,A24,'01_闭环计划'!J6:J55)</f>
        <v/>
      </c>
      <c r="E24" s="80">
        <f>IF(SUMPRODUCT(--ISNUMBER('01_闭环计划'!K6:K55),--('01_闭环计划'!B6:B55=A24))=0,"",SUMIF('01_闭环计划'!B6:B55,A24,'01_闭环计划'!K6:K55))</f>
        <v/>
      </c>
      <c r="F24" s="80">
        <f>IF(SUMPRODUCT(--ISNUMBER('01_闭环计划'!L6:L55),--('01_闭环计划'!B6:B55=A24))=0,"",SUMIF('01_闭环计划'!B6:B55,A24,'01_闭环计划'!L6:L55))</f>
        <v/>
      </c>
      <c r="G24" s="4" t="n"/>
      <c r="H24" s="7" t="inlineStr">
        <is>
          <t>原审阅“代码已修/待联调”</t>
        </is>
      </c>
      <c r="I24" s="1" t="n"/>
      <c r="J24" s="1" t="n"/>
      <c r="K24" s="1" t="n"/>
      <c r="L24" s="81">
        <f>COUNTIF('07_原审阅索引'!D6:D68,"代码已修/待联调")</f>
        <v/>
      </c>
    </row>
    <row r="25" ht="30" customHeight="1">
      <c r="A25" s="4" t="inlineStr">
        <is>
          <t>交付收口</t>
        </is>
      </c>
      <c r="B25" s="4">
        <f>COUNTIF('01_闭环计划'!B6:B55,A25)</f>
        <v/>
      </c>
      <c r="C25" s="4">
        <f>COUNTIFS('01_闭环计划'!B6:B55,A25,'01_闭环计划'!D6:D55,"验收通过")</f>
        <v/>
      </c>
      <c r="D25" s="79">
        <f>SUMIF('01_闭环计划'!B6:B55,A25,'01_闭环计划'!J6:J55)</f>
        <v/>
      </c>
      <c r="E25" s="80">
        <f>IF(SUMPRODUCT(--ISNUMBER('01_闭环计划'!K6:K55),--('01_闭环计划'!B6:B55=A25))=0,"",SUMIF('01_闭环计划'!B6:B55,A25,'01_闭环计划'!K6:K55))</f>
        <v/>
      </c>
      <c r="F25" s="80">
        <f>IF(SUMPRODUCT(--ISNUMBER('01_闭环计划'!L6:L55),--('01_闭环计划'!B6:B55=A25))=0,"",SUMIF('01_闭环计划'!B6:B55,A25,'01_闭环计划'!L6:L55))</f>
        <v/>
      </c>
      <c r="G25" s="4" t="n"/>
      <c r="H25" s="61" t="inlineStr">
        <is>
          <t>*分钟/成本为已填写项之和，缺失不当免费或零耗时；完整度见06。旧状态冲突保留，待当前代码证据核实。</t>
        </is>
      </c>
      <c r="I25" s="1" t="n"/>
      <c r="J25" s="1" t="n"/>
      <c r="K25" s="1" t="n"/>
      <c r="L25" s="1" t="n"/>
    </row>
    <row r="26" ht="30" customHeight="1">
      <c r="A26" s="69" t="inlineStr">
        <is>
          <t>合计</t>
        </is>
      </c>
      <c r="B26" s="69">
        <f>SUM(B20:B25)</f>
        <v/>
      </c>
      <c r="C26" s="69">
        <f>SUM(C20:C25)</f>
        <v/>
      </c>
      <c r="D26" s="82">
        <f>SUM(D20:D25)</f>
        <v/>
      </c>
      <c r="E26" s="82">
        <f>IF(COUNT(E20:E25)=0,"",SUM(E20:E25))</f>
        <v/>
      </c>
      <c r="F26" s="82">
        <f>IF(COUNT(F20:F25)=0,"",SUM(F20:F25))</f>
        <v/>
      </c>
      <c r="G26" s="4" t="n"/>
      <c r="H26" s="1" t="n"/>
      <c r="I26" s="1" t="n"/>
      <c r="J26" s="1" t="n"/>
      <c r="K26" s="1" t="n"/>
      <c r="L26" s="1" t="n"/>
    </row>
    <row r="27" ht="24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29" customHeight="1">
      <c r="A28" s="63" t="inlineStr">
        <is>
          <t>不是删范围提速：核心通过 ≠ 一期验收通过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 ht="25" customHeight="1">
      <c r="A29" s="14" t="inlineStr">
        <is>
          <t>当前验收改为 OnePlus 9R b0644fb5 单机分阶段。原范围功能（实时视频、同任务恢复、Recipe手动发布、完整产品/帖子/资源池、双平台发布、闲鱼31目录、订单与指标历史、长期保存）在当前机上仍须满足。Note9 认证与至少10台真机（及配套100模拟容量）改为后期扩展，不得标已通过，也不得永久删除。
真实副作用前的权限、单writer、提交防重和版本安全不能后补。平台入口不存在只记阻塞。单机通过 ≠ 原多机/Note9 一期完成。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 ht="25" customHeight="1">
      <c r="A30" s="1" t="n"/>
      <c r="L30" s="1" t="n"/>
    </row>
    <row r="31" ht="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 ht="24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27" customHeight="1">
      <c r="A33" s="19" t="inlineStr">
        <is>
          <t>怎么用这份表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 ht="29" customHeight="1">
      <c r="A34" s="75" t="inlineStr">
        <is>
          <t>01_闭环计划</t>
        </is>
      </c>
      <c r="B34" s="1" t="n"/>
      <c r="C34" s="1" t="n"/>
      <c r="D34" s="7" t="inlineStr">
        <is>
          <t>维护D/Q状态、阻塞、下一检查点与证据；J/K/L由09执行记录自动汇总。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</row>
    <row r="35" ht="29" customHeight="1">
      <c r="A35" s="75" t="inlineStr">
        <is>
          <t>02_验收卡</t>
        </is>
      </c>
      <c r="B35" s="1" t="n"/>
      <c r="C35" s="1" t="n"/>
      <c r="D35" s="7" t="inlineStr">
        <is>
          <t>只读取当前P卡；主路径和必要错误验证通过即结束当前检查点。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</row>
    <row r="36" ht="29" customHeight="1">
      <c r="A36" s="75" t="inlineStr">
        <is>
          <t>03_启动与门禁</t>
        </is>
      </c>
      <c r="B36" s="1" t="n"/>
      <c r="C36" s="1" t="n"/>
      <c r="D36" s="7" t="inlineStr">
        <is>
          <t>启动五阶段不是五天；门禁只阻止受影响操作，独立工作继续。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</row>
    <row r="37" ht="29" customHeight="1">
      <c r="A37" s="75" t="inlineStr">
        <is>
          <t>04_旧任务对照</t>
        </is>
      </c>
      <c r="B37" s="1" t="n"/>
      <c r="C37" s="1" t="n"/>
      <c r="D37" s="7" t="inlineStr">
        <is>
          <t>120项旧T完整映射；保留原状态、证据、契约和验收，不重复执行旧手册。</t>
        </is>
      </c>
      <c r="E37" s="1" t="n"/>
      <c r="F37" s="1" t="n"/>
      <c r="G37" s="1" t="n"/>
      <c r="H37" s="1" t="n"/>
      <c r="I37" s="1" t="n"/>
      <c r="J37" s="1" t="n"/>
      <c r="K37" s="1" t="n"/>
      <c r="L37" s="1" t="n"/>
    </row>
    <row r="38" ht="29" customHeight="1">
      <c r="A38" s="75" t="inlineStr">
        <is>
          <t>05_范围追溯</t>
        </is>
      </c>
      <c r="B38" s="1" t="n"/>
      <c r="C38" s="1" t="n"/>
      <c r="D38" s="7" t="inlineStr">
        <is>
          <t>20需求 + 12原范围 + 31闲鱼目录；逐项验收，不静默删减。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</row>
    <row r="39" ht="29" customHeight="1">
      <c r="A39" s="75" t="inlineStr">
        <is>
          <t>06_执行实测</t>
        </is>
      </c>
      <c r="B39" s="1" t="n"/>
      <c r="C39" s="1" t="n"/>
      <c r="D39" s="7" t="inlineStr">
        <is>
          <t>记录轮次、主动耗时、等待与成本完整度；无实测时不推算总工期。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</row>
    <row r="40" ht="29" customHeight="1">
      <c r="A40" s="75" t="inlineStr">
        <is>
          <t>07索引 / 08–11执行辅助</t>
        </is>
      </c>
      <c r="B40" s="1" t="n"/>
      <c r="C40" s="1" t="n"/>
      <c r="D40" s="7" t="inlineStr">
        <is>
          <t>07只追溯；08模型/子智能体分工；09逐轮日志；10当前包交接；11多智能体并行控制台与P14工作队列。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</row>
    <row r="41" ht="24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27" customHeight="1">
      <c r="A42" s="41" t="inlineStr">
        <is>
          <t>本次修改与证据边界</t>
        </is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 ht="25" customHeight="1">
      <c r="A43" s="99" t="inlineStr">
        <is>
          <t>基于用户提供的闭环执行版于2026-09-08调整。原50包、120项映射、需求、验收和安全门禁保留；删除原38–76人日与人数换算，不把旧估算改名为AI小时。60分钟无进展检查、同错两轮升级均为建议起始策略。调用账单未提供，费用留空。原文件保留。
2026-09-08 补记本轮执行：09表写入P08/P09/P07/P01四轮；01表Q列模块通过，D列仍非验收通过。当前仓库已检查；OnePlus 9R探针已跑通。原口径「验收通过才算整包」保留。
2026-09-08 用户已确认：当前验收改为现有 OnePlus 9R b0644fb5 单机分阶段验收。红米 Note9 认证、至少10台真机及配套100模拟容量验证推迟到单机主链路通过之后，作为后期扩展：不得标成已通过，也不得从原范围永久删除。当前机上的功能与安全门禁仍须满足；单机通过 ≠ 原多机/Note9 一期完成。权威活动计划：lamda_yun_一期计划_智能体执行版.xlsx。本轮不启动 P15、不做新真机试验。 09表追加 R20260908-06。P01/P07 去掉过期「生产claim仍发旧steps」。P14 不以 worker CLOSED 为整包通过。
2026-09-09 对照当前任务更新：P14 焦点竞争硬验收通过；新增任务 0d36fe3f… 在闲鱼前台起始时成功等待 Companion 成为活动窗口，并留下 expected/actual 日志。历史失败 7f292679 未改写，签名校验未关闭。本次复跑后端 6 项测试通过、Android Recipe 定向测试构建成功。由于该 probe 仍使用内置 Recipe，且 T041 网页入口、签名 Recipe claim 固定、暂停/运行版本固定、下载中断旧版可用、回退审计尚未闭环，P14 保持进行中/开发中。09 表追加 R20260909-01；10 表切换到版本生命周期余项。
2026-09-09 多智能体方案：新增 11_多智能体并行；采用 Root Worker + 3 子智能体。编码智能体编排位于外部开发执行层，不改造成生产 Temporal Worker。READY 由合同、写集、资源锁和验证定义决定；三个子智能体必须批量创建后统一等待。当前脏工作区先做可恢复基线冻结；子智能体使用独立 worktree/branch。P14 拆为 WEB、CONTROL、ANDROID 三路并行，Root 串行合并与真机验收。09 表追加 R20260909-02。
2026-09-15回填：按W0里程碑统一回写旧表规则，09表追加R20260913-P09-02/R20260914-SCOPE-01/R20260914-P10-01/R20260915-P29-01/R20260915-P30-01五行（明细取自新表11_执行记录；时间Asia/Shanghai；Token/费用未知留空）。01表仅改D/N/Q/R/S，J/K/L仍由公式从09汇总，未手填。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 ht="25" customHeight="1">
      <c r="A44" s="1" t="n"/>
      <c r="L44" s="1" t="n"/>
    </row>
    <row r="45" ht="25" customHeight="1">
      <c r="A45" s="1" t="n"/>
      <c r="L45" s="1" t="n"/>
    </row>
    <row r="46" ht="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 ht="24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24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</sheetData>
  <mergeCells count="40">
    <mergeCell ref="H22:K22"/>
    <mergeCell ref="A37:C37"/>
    <mergeCell ref="A18:F18"/>
    <mergeCell ref="H24:K24"/>
    <mergeCell ref="A9:L10"/>
    <mergeCell ref="A12:L12"/>
    <mergeCell ref="H23:K23"/>
    <mergeCell ref="A43:L46"/>
    <mergeCell ref="D6:F7"/>
    <mergeCell ref="A42:L42"/>
    <mergeCell ref="A5:C5"/>
    <mergeCell ref="G5:I5"/>
    <mergeCell ref="A33:L33"/>
    <mergeCell ref="D37:L37"/>
    <mergeCell ref="H20:K20"/>
    <mergeCell ref="A35:C35"/>
    <mergeCell ref="D39:L39"/>
    <mergeCell ref="A38:C38"/>
    <mergeCell ref="A6:C7"/>
    <mergeCell ref="A29:L31"/>
    <mergeCell ref="J6:L7"/>
    <mergeCell ref="D5:F5"/>
    <mergeCell ref="D38:L38"/>
    <mergeCell ref="A28:L28"/>
    <mergeCell ref="A40:C40"/>
    <mergeCell ref="H21:K21"/>
    <mergeCell ref="H25:L26"/>
    <mergeCell ref="A34:C34"/>
    <mergeCell ref="D35:L35"/>
    <mergeCell ref="A39:C39"/>
    <mergeCell ref="J5:L5"/>
    <mergeCell ref="G6:I7"/>
    <mergeCell ref="A36:C36"/>
    <mergeCell ref="A2:L3"/>
    <mergeCell ref="D34:L34"/>
    <mergeCell ref="A1:L1"/>
    <mergeCell ref="D40:L40"/>
    <mergeCell ref="H18:L18"/>
    <mergeCell ref="D36:L36"/>
    <mergeCell ref="H19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32" customWidth="1" min="3" max="3"/>
    <col width="19" customWidth="1" min="4" max="4"/>
    <col width="13" customWidth="1" min="5" max="5"/>
    <col width="27" customWidth="1" min="6" max="6"/>
    <col width="30" customWidth="1" min="7" max="7"/>
    <col width="21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39" customWidth="1" min="14" max="14"/>
    <col width="29" customWidth="1" min="15" max="15"/>
    <col width="11" customWidth="1" min="16" max="16"/>
    <col width="18" customWidth="1" min="17" max="17"/>
    <col width="18" customWidth="1" min="18" max="18"/>
    <col width="60" customWidth="1" min="19" max="19"/>
  </cols>
  <sheetData>
    <row r="1" ht="38" customHeight="1">
      <c r="A1" s="11" t="inlineStr">
        <is>
          <t>01 / 智能体功能包执行台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4" customHeight="1">
      <c r="A2" s="15" t="inlineStr">
        <is>
          <t>I列为连续主动排查无新增证据的检查阈值，不是包工期。J/L/K由09记录汇总；缺失数据不当0。Q模块自测通过可结束开发，D保留真实功能验收状态；F/G不得解释为等待前置整包完成。接口解锁见08，当前施工交接见10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24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34" customHeight="1">
      <c r="A5" s="17" t="inlineStr">
        <is>
          <t>新编号</t>
        </is>
      </c>
      <c r="B5" s="17" t="inlineStr">
        <is>
          <t>执行分组</t>
        </is>
      </c>
      <c r="C5" s="17" t="inlineStr">
        <is>
          <t>功能闭环</t>
        </is>
      </c>
      <c r="D5" s="17" t="inlineStr">
        <is>
          <t>当前状态</t>
        </is>
      </c>
      <c r="E5" s="17" t="inlineStr">
        <is>
          <t>执行模型 / 责任人</t>
        </is>
      </c>
      <c r="F5" s="17" t="inlineStr">
        <is>
          <t>所需接口来源
MUST</t>
        </is>
      </c>
      <c r="G5" s="17" t="inlineStr">
        <is>
          <t>接通验证相关包
非整包完成前置</t>
        </is>
      </c>
      <c r="H5" s="17" t="inlineStr">
        <is>
          <t>必过门禁</t>
        </is>
      </c>
      <c r="I5" s="17" t="inlineStr">
        <is>
          <t>无进展检查
分钟（可调）</t>
        </is>
      </c>
      <c r="J5" s="17" t="inlineStr">
        <is>
          <t>已记录轮次</t>
        </is>
      </c>
      <c r="K5" s="17" t="inlineStr">
        <is>
          <t>已记录主动
分钟（可缺项）</t>
        </is>
      </c>
      <c r="L5" s="17" t="inlineStr">
        <is>
          <t>已知调用成本
人民币（可缺项）</t>
        </is>
      </c>
      <c r="M5" s="17" t="inlineStr">
        <is>
          <t>接口可用性
非整包状态</t>
        </is>
      </c>
      <c r="N5" s="17" t="inlineStr">
        <is>
          <t>证据 / 当前阻塞</t>
        </is>
      </c>
      <c r="O5" s="17" t="inlineStr">
        <is>
          <t>原任务归属</t>
        </is>
      </c>
      <c r="P5" s="17" t="inlineStr">
        <is>
          <t>开工依赖
层数</t>
        </is>
      </c>
      <c r="Q5" s="17" t="inlineStr">
        <is>
          <t>模块开发状态</t>
        </is>
      </c>
      <c r="R5" s="17" t="inlineStr">
        <is>
          <t>当前阻塞类型</t>
        </is>
      </c>
      <c r="S5" s="17" t="inlineStr">
        <is>
          <t>下一可见交付 / 解锁边界</t>
        </is>
      </c>
    </row>
    <row r="6" ht="100" customHeight="1">
      <c r="A6" s="4" t="inlineStr">
        <is>
          <t>P00</t>
        </is>
      </c>
      <c r="B6" s="4" t="inlineStr">
        <is>
          <t>继承</t>
        </is>
      </c>
      <c r="C6" s="4" t="inlineStr">
        <is>
          <t>继承基线、审阅和架构成果</t>
        </is>
      </c>
      <c r="D6" s="22" t="inlineStr">
        <is>
          <t>沿用完成</t>
        </is>
      </c>
      <c r="E6" s="22" t="inlineStr">
        <is>
          <t>待认领</t>
        </is>
      </c>
      <c r="F6" s="4" t="inlineStr">
        <is>
          <t>无新增包前置</t>
        </is>
      </c>
      <c r="G6" s="4" t="inlineStr">
        <is>
          <t>无</t>
        </is>
      </c>
      <c r="H6" s="4" t="inlineStr">
        <is>
          <t>G0</t>
        </is>
      </c>
      <c r="I6" s="84" t="n">
        <v>0</v>
      </c>
      <c r="J6" s="85">
        <f>COUNTIFS('09_执行记录'!$B$6:$B$2022,A6,'09_执行记录'!$A$6:$A$2022,"&lt;&gt;")</f>
        <v/>
      </c>
      <c r="K6" s="86">
        <f>IF(COUNTIFS('09_执行记录'!$B$6:$B$2022,A6,'09_执行记录'!$A$6:$A$2022,"&lt;&gt;",'09_执行记录'!$H$6:$H$2022,"&lt;&gt;")=0,"",SUMIFS('09_执行记录'!$H$6:$H$2022,'09_执行记录'!$B$6:$B$2022,A6,'09_执行记录'!$A$6:$A$2022,"&lt;&gt;"))</f>
        <v/>
      </c>
      <c r="L6" s="86">
        <f>IF(COUNTIFS('09_执行记录'!$B$6:$B$2022,A6,'09_执行记录'!$A$6:$A$2022,"&lt;&gt;",'09_执行记录'!$M$6:$M$2022,"&lt;&gt;")=0,"",SUMIFS('09_执行记录'!$M$6:$M$2022,'09_执行记录'!$B$6:$B$2022,A6,'09_执行记录'!$A$6:$A$2022,"&lt;&gt;"))</f>
        <v/>
      </c>
      <c r="M6" s="22" t="inlineStr">
        <is>
          <t>可用</t>
        </is>
      </c>
      <c r="N6" s="22" t="inlineStr">
        <is>
          <t>沿用原表T001–T003已完成；N列未附证据链接，本次未复核，不重做全仓。</t>
        </is>
      </c>
      <c r="O6" s="4" t="inlineStr">
        <is>
          <t>T001、T002、T003</t>
        </is>
      </c>
      <c r="P6" s="4">
        <f>1</f>
        <v/>
      </c>
      <c r="Q6" s="22" t="inlineStr">
        <is>
          <t>沿用完成</t>
        </is>
      </c>
      <c r="R6" s="22" t="inlineStr">
        <is>
          <t>待核实</t>
        </is>
      </c>
      <c r="S6" s="22" t="inlineStr">
        <is>
          <t>仅登记当前分支与已有产物位置；没有代码变化不重做T001–T003。</t>
        </is>
      </c>
    </row>
    <row r="7" ht="100" customHeight="1">
      <c r="A7" s="4" t="inlineStr">
        <is>
          <t>P01</t>
        </is>
      </c>
      <c r="B7" s="4" t="inlineStr">
        <is>
          <t>主链路</t>
        </is>
      </c>
      <c r="C7" s="4" t="inlineStr">
        <is>
          <t>字段映射与双平台命令工厂</t>
        </is>
      </c>
      <c r="D7" s="22" t="inlineStr">
        <is>
          <t>已有实现待联调</t>
        </is>
      </c>
      <c r="E7" s="22" t="inlineStr">
        <is>
          <t>ZCode</t>
        </is>
      </c>
      <c r="F7" s="4" t="inlineStr">
        <is>
          <t>无新增包前置</t>
        </is>
      </c>
      <c r="G7" s="4" t="inlineStr">
        <is>
          <t>P03；P05；P07</t>
        </is>
      </c>
      <c r="H7" s="4" t="inlineStr">
        <is>
          <t>G1</t>
        </is>
      </c>
      <c r="I7" s="84" t="n">
        <v>60</v>
      </c>
      <c r="J7" s="85">
        <f>COUNTIFS('09_执行记录'!$B$6:$B$2022,A7,'09_执行记录'!$A$6:$A$2022,"&lt;&gt;")</f>
        <v/>
      </c>
      <c r="K7" s="86">
        <f>IF(COUNTIFS('09_执行记录'!$B$6:$B$2022,A7,'09_执行记录'!$A$6:$A$2022,"&lt;&gt;",'09_执行记录'!$H$6:$H$2022,"&lt;&gt;")=0,"",SUMIFS('09_执行记录'!$H$6:$H$2022,'09_执行记录'!$B$6:$B$2022,A7,'09_执行记录'!$A$6:$A$2022,"&lt;&gt;"))</f>
        <v/>
      </c>
      <c r="L7" s="86">
        <f>IF(COUNTIFS('09_执行记录'!$B$6:$B$2022,A7,'09_执行记录'!$A$6:$A$2022,"&lt;&gt;",'09_执行记录'!$M$6:$M$2022,"&lt;&gt;")=0,"",SUMIFS('09_执行记录'!$M$6:$M$2022,'09_执行记录'!$B$6:$B$2022,A7,'09_执行记录'!$A$6:$A$2022,"&lt;&gt;"))</f>
        <v/>
      </c>
      <c r="M7" s="22" t="inlineStr">
        <is>
          <t>部分可用</t>
        </is>
      </c>
      <c r="N7" s="100" t="inlineStr">
        <is>
          <t>模块通过：T077工厂已接；31项目录唯一归属。生产 claim 已走 CommandV1（protocolVersion=cloudctl.command/v1）。现场 device-probe ca985a89 SUCCEEDED controlEpoch=94。OPEN_ONLY 不记发布成功。不重做 field-map。</t>
        </is>
      </c>
      <c r="O7" s="4" t="inlineStr">
        <is>
          <t>T004、T012、T077</t>
        </is>
      </c>
      <c r="P7" s="4">
        <f>1</f>
        <v/>
      </c>
      <c r="Q7" s="22" t="inlineStr">
        <is>
          <t>模块通过</t>
        </is>
      </c>
      <c r="R7" s="22" t="inlineStr">
        <is>
          <t>待核实</t>
        </is>
      </c>
      <c r="S7" s="100" t="inlineStr">
        <is>
          <t>不重做 field-map。下一可见：与 P03/P05 联调 operationId；P14 转入版本生命周期余项。</t>
        </is>
      </c>
    </row>
    <row r="8" ht="100" customHeight="1">
      <c r="A8" s="4" t="inlineStr">
        <is>
          <t>P02</t>
        </is>
      </c>
      <c r="B8" s="4" t="inlineStr">
        <is>
          <t>主链路</t>
        </is>
      </c>
      <c r="C8" s="4" t="inlineStr">
        <is>
          <t>真实登录态、API与统一权限</t>
        </is>
      </c>
      <c r="D8" s="22" t="inlineStr">
        <is>
          <t>模块通过</t>
        </is>
      </c>
      <c r="E8" s="22" t="inlineStr">
        <is>
          <t>待认领</t>
        </is>
      </c>
      <c r="F8" s="4" t="inlineStr">
        <is>
          <t>无新增包前置</t>
        </is>
      </c>
      <c r="G8" s="4" t="inlineStr">
        <is>
          <t>无</t>
        </is>
      </c>
      <c r="H8" s="4" t="inlineStr">
        <is>
          <t>G1</t>
        </is>
      </c>
      <c r="I8" s="84" t="n">
        <v>60</v>
      </c>
      <c r="J8" s="85">
        <f>COUNTIFS('09_执行记录'!$B$6:$B$2022,A8,'09_执行记录'!$A$6:$A$2022,"&lt;&gt;")</f>
        <v/>
      </c>
      <c r="K8" s="86">
        <f>IF(COUNTIFS('09_执行记录'!$B$6:$B$2022,A8,'09_执行记录'!$A$6:$A$2022,"&lt;&gt;",'09_执行记录'!$H$6:$H$2022,"&lt;&gt;")=0,"",SUMIFS('09_执行记录'!$H$6:$H$2022,'09_执行记录'!$B$6:$B$2022,A8,'09_执行记录'!$A$6:$A$2022,"&lt;&gt;"))</f>
        <v/>
      </c>
      <c r="L8" s="86">
        <f>IF(COUNTIFS('09_执行记录'!$B$6:$B$2022,A8,'09_执行记录'!$A$6:$A$2022,"&lt;&gt;",'09_执行记录'!$M$6:$M$2022,"&lt;&gt;")=0,"",SUMIFS('09_执行记录'!$M$6:$M$2022,'09_执行记录'!$B$6:$B$2022,A8,'09_执行记录'!$A$6:$A$2022,"&lt;&gt;"))</f>
        <v/>
      </c>
      <c r="M8" s="22" t="inlineStr">
        <is>
          <t>部分可用</t>
        </is>
      </c>
      <c r="N8" s="22" t="inlineStr">
        <is>
          <t>404/501 fail-closed + 权限单测通过；真实身份联调待补</t>
        </is>
      </c>
      <c r="O8" s="4" t="inlineStr">
        <is>
          <t>T005、T006</t>
        </is>
      </c>
      <c r="P8" s="4">
        <f>1</f>
        <v/>
      </c>
      <c r="Q8" s="22" t="inlineStr">
        <is>
          <t>继承待核实</t>
        </is>
      </c>
      <c r="R8" s="22" t="inlineStr">
        <is>
          <t>待核实</t>
        </is>
      </c>
      <c r="S8" s="22" t="inlineStr">
        <is>
          <t>按原表已记录的/session实际实现核对路由，联调现有测试；不另造/me第二套身份。</t>
        </is>
      </c>
    </row>
    <row r="9" ht="100" customHeight="1">
      <c r="A9" s="4" t="inlineStr">
        <is>
          <t>P03</t>
        </is>
      </c>
      <c r="B9" s="4" t="inlineStr">
        <is>
          <t>主链路</t>
        </is>
      </c>
      <c r="C9" s="4" t="inlineStr">
        <is>
          <t>设备及双平台账号绑定、换绑隔离</t>
        </is>
      </c>
      <c r="D9" s="22" t="inlineStr">
        <is>
          <t>已有实现待联调</t>
        </is>
      </c>
      <c r="E9" s="22" t="inlineStr">
        <is>
          <t>待认领</t>
        </is>
      </c>
      <c r="F9" s="4" t="inlineStr">
        <is>
          <t>P01；P02</t>
        </is>
      </c>
      <c r="G9" s="4" t="inlineStr">
        <is>
          <t>P04；P06；P08</t>
        </is>
      </c>
      <c r="H9" s="4" t="inlineStr">
        <is>
          <t>G1/G2</t>
        </is>
      </c>
      <c r="I9" s="84" t="n">
        <v>60</v>
      </c>
      <c r="J9" s="85">
        <f>COUNTIFS('09_执行记录'!$B$6:$B$2022,A9,'09_执行记录'!$A$6:$A$2022,"&lt;&gt;")</f>
        <v/>
      </c>
      <c r="K9" s="86">
        <f>IF(COUNTIFS('09_执行记录'!$B$6:$B$2022,A9,'09_执行记录'!$A$6:$A$2022,"&lt;&gt;",'09_执行记录'!$H$6:$H$2022,"&lt;&gt;")=0,"",SUMIFS('09_执行记录'!$H$6:$H$2022,'09_执行记录'!$B$6:$B$2022,A9,'09_执行记录'!$A$6:$A$2022,"&lt;&gt;"))</f>
        <v/>
      </c>
      <c r="L9" s="86">
        <f>IF(COUNTIFS('09_执行记录'!$B$6:$B$2022,A9,'09_执行记录'!$A$6:$A$2022,"&lt;&gt;",'09_执行记录'!$M$6:$M$2022,"&lt;&gt;")=0,"",SUMIFS('09_执行记录'!$M$6:$M$2022,'09_执行记录'!$B$6:$B$2022,A9,'09_执行记录'!$A$6:$A$2022,"&lt;&gt;"))</f>
        <v/>
      </c>
      <c r="M9" s="22" t="inlineStr">
        <is>
          <t>部分可用</t>
        </is>
      </c>
      <c r="N9" s="22" t="inlineStr">
        <is>
          <t>002/003 SQL + ACCOUNT_CHANGED逻辑已有；迁移未上生产</t>
        </is>
      </c>
      <c r="O9" s="4" t="inlineStr">
        <is>
          <t>T007、T010、T011、T086</t>
        </is>
      </c>
      <c r="P9" s="4">
        <f>MAX(P7,P8)+1</f>
        <v/>
      </c>
      <c r="Q9" s="22" t="inlineStr">
        <is>
          <t>继承待核实</t>
        </is>
      </c>
      <c r="R9" s="22" t="inlineStr">
        <is>
          <t>待核实</t>
        </is>
      </c>
      <c r="S9" s="22" t="inlineStr">
        <is>
          <t>复用002/003迁移与现有绑定接口，先在可回滚环境应用并验证；核对T011把暂停计划记为CANCELED的语义。</t>
        </is>
      </c>
    </row>
    <row r="10" ht="100" customHeight="1">
      <c r="A10" s="4" t="inlineStr">
        <is>
          <t>P04</t>
        </is>
      </c>
      <c r="B10" s="4" t="inlineStr">
        <is>
          <t>主链路</t>
        </is>
      </c>
      <c r="C10" s="4" t="inlineStr">
        <is>
          <t>设备、平台能力探测与兼容底稿</t>
        </is>
      </c>
      <c r="D10" s="22" t="inlineStr">
        <is>
          <t>已有实现待联调</t>
        </is>
      </c>
      <c r="E10" s="22" t="inlineStr">
        <is>
          <t>待认领</t>
        </is>
      </c>
      <c r="F10" s="4" t="inlineStr">
        <is>
          <t>无新增包前置</t>
        </is>
      </c>
      <c r="G10" s="4" t="inlineStr">
        <is>
          <t>P03；P07</t>
        </is>
      </c>
      <c r="H10" s="4" t="inlineStr">
        <is>
          <t>G1/G7</t>
        </is>
      </c>
      <c r="I10" s="84" t="n">
        <v>60</v>
      </c>
      <c r="J10" s="85">
        <f>COUNTIFS('09_执行记录'!$B$6:$B$2022,A10,'09_执行记录'!$A$6:$A$2022,"&lt;&gt;")</f>
        <v/>
      </c>
      <c r="K10" s="86">
        <f>IF(COUNTIFS('09_执行记录'!$B$6:$B$2022,A10,'09_执行记录'!$A$6:$A$2022,"&lt;&gt;",'09_执行记录'!$H$6:$H$2022,"&lt;&gt;")=0,"",SUMIFS('09_执行记录'!$H$6:$H$2022,'09_执行记录'!$B$6:$B$2022,A10,'09_执行记录'!$A$6:$A$2022,"&lt;&gt;"))</f>
        <v/>
      </c>
      <c r="L10" s="86">
        <f>IF(COUNTIFS('09_执行记录'!$B$6:$B$2022,A10,'09_执行记录'!$A$6:$A$2022,"&lt;&gt;",'09_执行记录'!$M$6:$M$2022,"&lt;&gt;")=0,"",SUMIFS('09_执行记录'!$M$6:$M$2022,'09_执行记录'!$B$6:$B$2022,A10,'09_执行记录'!$A$6:$A$2022,"&lt;&gt;"))</f>
        <v/>
      </c>
      <c r="M10" s="22" t="inlineStr">
        <is>
          <t>部分可用</t>
        </is>
      </c>
      <c r="N10" s="22" t="inlineStr">
        <is>
          <t>heartbeat扩展字段已有。当前验收机为 OnePlus 9R b0644fb5，单机证据保留。Note9 认证与10台容量改为后期扩展，不作为当前阻塞，也不得标已通过。</t>
        </is>
      </c>
      <c r="O10" s="4" t="inlineStr">
        <is>
          <t>T008、T009</t>
        </is>
      </c>
      <c r="P10" s="4">
        <f>1</f>
        <v/>
      </c>
      <c r="Q10" s="22" t="inlineStr">
        <is>
          <t>继承待核实</t>
        </is>
      </c>
      <c r="R10" s="22" t="inlineStr">
        <is>
          <t>待核实</t>
        </is>
      </c>
      <c r="S10" s="22" t="inlineStr">
        <is>
          <t>复用现有 OnePlus 9R 报告做当前机能力探测。Note9/多机认证推迟，不在本阶段把其资源缺口当当前阻塞。</t>
        </is>
      </c>
    </row>
    <row r="11" ht="100" customHeight="1">
      <c r="A11" s="4" t="inlineStr">
        <is>
          <t>P05</t>
        </is>
      </c>
      <c r="B11" s="4" t="inlineStr">
        <is>
          <t>主链路</t>
        </is>
      </c>
      <c r="C11" s="4" t="inlineStr">
        <is>
          <t>统一任务事实、事件与任务工作台</t>
        </is>
      </c>
      <c r="D11" s="22" t="inlineStr">
        <is>
          <t>已有实现待联调</t>
        </is>
      </c>
      <c r="E11" s="22" t="inlineStr">
        <is>
          <t>待认领</t>
        </is>
      </c>
      <c r="F11" s="4" t="inlineStr">
        <is>
          <t>P01；P02</t>
        </is>
      </c>
      <c r="G11" s="4" t="inlineStr">
        <is>
          <t>P06；P08；P12</t>
        </is>
      </c>
      <c r="H11" s="4" t="inlineStr">
        <is>
          <t>G1/G2</t>
        </is>
      </c>
      <c r="I11" s="84" t="n">
        <v>60</v>
      </c>
      <c r="J11" s="85">
        <f>COUNTIFS('09_执行记录'!$B$6:$B$2022,A11,'09_执行记录'!$A$6:$A$2022,"&lt;&gt;")</f>
        <v/>
      </c>
      <c r="K11" s="86">
        <f>IF(COUNTIFS('09_执行记录'!$B$6:$B$2022,A11,'09_执行记录'!$A$6:$A$2022,"&lt;&gt;",'09_执行记录'!$H$6:$H$2022,"&lt;&gt;")=0,"",SUMIFS('09_执行记录'!$H$6:$H$2022,'09_执行记录'!$B$6:$B$2022,A11,'09_执行记录'!$A$6:$A$2022,"&lt;&gt;"))</f>
        <v/>
      </c>
      <c r="L11" s="86">
        <f>IF(COUNTIFS('09_执行记录'!$B$6:$B$2022,A11,'09_执行记录'!$A$6:$A$2022,"&lt;&gt;",'09_执行记录'!$M$6:$M$2022,"&lt;&gt;")=0,"",SUMIFS('09_执行记录'!$M$6:$M$2022,'09_执行记录'!$B$6:$B$2022,A11,'09_执行记录'!$A$6:$A$2022,"&lt;&gt;"))</f>
        <v/>
      </c>
      <c r="M11" s="22" t="inlineStr">
        <is>
          <t>部分可用</t>
        </is>
      </c>
      <c r="N11" s="22" t="inlineStr">
        <is>
          <t>platform_tasks.py + 004 SQL已有；迁移未上生产</t>
        </is>
      </c>
      <c r="O11" s="4" t="inlineStr">
        <is>
          <t>T013、T014、T028</t>
        </is>
      </c>
      <c r="P11" s="4">
        <f>MAX(P7,P8)+1</f>
        <v/>
      </c>
      <c r="Q11" s="22" t="inlineStr">
        <is>
          <t>继承待核实</t>
        </is>
      </c>
      <c r="R11" s="22" t="inlineStr">
        <is>
          <t>待核实</t>
        </is>
      </c>
      <c r="S11" s="22" t="inlineStr">
        <is>
          <t>应用并验证004迁移；沿用现有API和事件schema，先让一个真实taskId在网页完整可见。</t>
        </is>
      </c>
    </row>
    <row r="12" ht="100" customHeight="1">
      <c r="A12" s="4" t="inlineStr">
        <is>
          <t>P06</t>
        </is>
      </c>
      <c r="B12" s="4" t="inlineStr">
        <is>
          <t>主链路</t>
        </is>
      </c>
      <c r="C12" s="4" t="inlineStr">
        <is>
          <t>快照冻结与立即、预约、周期调度</t>
        </is>
      </c>
      <c r="D12" s="22" t="inlineStr">
        <is>
          <t>已有实现待联调</t>
        </is>
      </c>
      <c r="E12" s="22" t="inlineStr">
        <is>
          <t>待认领</t>
        </is>
      </c>
      <c r="F12" s="4" t="inlineStr">
        <is>
          <t>P01；P05</t>
        </is>
      </c>
      <c r="G12" s="4" t="inlineStr">
        <is>
          <t>P03；P17；P19；P20</t>
        </is>
      </c>
      <c r="H12" s="4" t="inlineStr">
        <is>
          <t>G1/G3</t>
        </is>
      </c>
      <c r="I12" s="84" t="n">
        <v>60</v>
      </c>
      <c r="J12" s="85">
        <f>COUNTIFS('09_执行记录'!$B$6:$B$2022,A12,'09_执行记录'!$A$6:$A$2022,"&lt;&gt;")</f>
        <v/>
      </c>
      <c r="K12" s="86">
        <f>IF(COUNTIFS('09_执行记录'!$B$6:$B$2022,A12,'09_执行记录'!$A$6:$A$2022,"&lt;&gt;",'09_执行记录'!$H$6:$H$2022,"&lt;&gt;")=0,"",SUMIFS('09_执行记录'!$H$6:$H$2022,'09_执行记录'!$B$6:$B$2022,A12,'09_执行记录'!$A$6:$A$2022,"&lt;&gt;"))</f>
        <v/>
      </c>
      <c r="L12" s="86">
        <f>IF(COUNTIFS('09_执行记录'!$B$6:$B$2022,A12,'09_执行记录'!$A$6:$A$2022,"&lt;&gt;",'09_执行记录'!$M$6:$M$2022,"&lt;&gt;")=0,"",SUMIFS('09_执行记录'!$M$6:$M$2022,'09_执行记录'!$B$6:$B$2022,A12,'09_执行记录'!$A$6:$A$2022,"&lt;&gt;"))</f>
        <v/>
      </c>
      <c r="M12" s="22" t="inlineStr">
        <is>
          <t>部分可用</t>
        </is>
      </c>
      <c r="N12" s="22" t="inlineStr">
        <is>
          <t>schedules.py + ScheduleEditor + 006 SQL已有；Temporal未接线</t>
        </is>
      </c>
      <c r="O12" s="4" t="inlineStr">
        <is>
          <t>T015、T017、T018</t>
        </is>
      </c>
      <c r="P12" s="4">
        <f>MAX(P7,P11)+1</f>
        <v/>
      </c>
      <c r="Q12" s="22" t="inlineStr">
        <is>
          <t>继承待核实</t>
        </is>
      </c>
      <c r="R12" s="22" t="inlineStr">
        <is>
          <t>待核实</t>
        </is>
      </c>
      <c r="S12" s="22" t="inlineStr">
        <is>
          <t>先补T017的Temporal接线与006迁移，再验证一次定时触发；资源解析按P19/P20接口联调。</t>
        </is>
      </c>
    </row>
    <row r="13" ht="100" customHeight="1">
      <c r="A13" s="4" t="inlineStr">
        <is>
          <t>P07</t>
        </is>
      </c>
      <c r="B13" s="4" t="inlineStr">
        <is>
          <t>主链路</t>
        </is>
      </c>
      <c r="C13" s="4" t="inlineStr">
        <is>
          <t>本地Recipe生产接线与执行生命周期</t>
        </is>
      </c>
      <c r="D13" s="22" t="inlineStr">
        <is>
          <t>已有实现待联调</t>
        </is>
      </c>
      <c r="E13" s="22" t="inlineStr">
        <is>
          <t>ZCode</t>
        </is>
      </c>
      <c r="F13" s="4" t="inlineStr">
        <is>
          <t>P01；P04</t>
        </is>
      </c>
      <c r="G13" s="4" t="inlineStr">
        <is>
          <t>P03；P05；P08；P14；P17</t>
        </is>
      </c>
      <c r="H13" s="4" t="inlineStr">
        <is>
          <t>G1/G2/G4</t>
        </is>
      </c>
      <c r="I13" s="84" t="n">
        <v>60</v>
      </c>
      <c r="J13" s="85">
        <f>COUNTIFS('09_执行记录'!$B$6:$B$2022,A13,'09_执行记录'!$A$6:$A$2022,"&lt;&gt;")</f>
        <v/>
      </c>
      <c r="K13" s="86">
        <f>IF(COUNTIFS('09_执行记录'!$B$6:$B$2022,A13,'09_执行记录'!$A$6:$A$2022,"&lt;&gt;",'09_执行记录'!$H$6:$H$2022,"&lt;&gt;")=0,"",SUMIFS('09_执行记录'!$H$6:$H$2022,'09_执行记录'!$B$6:$B$2022,A13,'09_执行记录'!$A$6:$A$2022,"&lt;&gt;"))</f>
        <v/>
      </c>
      <c r="L13" s="86">
        <f>IF(COUNTIFS('09_执行记录'!$B$6:$B$2022,A13,'09_执行记录'!$A$6:$A$2022,"&lt;&gt;",'09_执行记录'!$M$6:$M$2022,"&lt;&gt;")=0,"",SUMIFS('09_执行记录'!$M$6:$M$2022,'09_执行记录'!$B$6:$B$2022,A13,'09_执行记录'!$A$6:$A$2022,"&lt;&gt;"))</f>
        <v/>
      </c>
      <c r="M13" s="22" t="inlineStr">
        <is>
          <t>部分可用</t>
        </is>
      </c>
      <c r="N13" s="100" t="inlineStr">
        <is>
          <t>模块通过：生产 claim 已走 CommandV1 并接 RecipeEngine；无 legacy steps。OnePlus 探针 67d95d4a SUCCEEDED controlEpoch=93。内置 Recipe 不是 P14 已发布目录。OPEN_ONLY 不记发布成功。</t>
        </is>
      </c>
      <c r="O13" s="4" t="inlineStr">
        <is>
          <t>T019、T020、T021、T022</t>
        </is>
      </c>
      <c r="P13" s="4">
        <f>MAX(P7,P10)+1</f>
        <v/>
      </c>
      <c r="Q13" s="22" t="inlineStr">
        <is>
          <t>模块通过</t>
        </is>
      </c>
      <c r="R13" s="22" t="inlineStr">
        <is>
          <t>待核实</t>
        </is>
      </c>
      <c r="S13" s="100" t="inlineStr">
        <is>
          <t>P14 焦点硬验收已于 2026-09-09 通过；P07 不重开 CommandV1/焦点诊断。继续由 P14 验证已发布签名 Recipe 的版本固定、回退与审计。</t>
        </is>
      </c>
    </row>
    <row r="14" ht="100" customHeight="1">
      <c r="A14" s="4" t="inlineStr">
        <is>
          <t>P08</t>
        </is>
      </c>
      <c r="B14" s="4" t="inlineStr">
        <is>
          <t>主链路</t>
        </is>
      </c>
      <c r="C14" s="4" t="inlineStr">
        <is>
          <t>单写锁与暂停→人工→同task恢复</t>
        </is>
      </c>
      <c r="D14" s="22" t="inlineStr">
        <is>
          <t>核心通过</t>
        </is>
      </c>
      <c r="E14" s="22" t="inlineStr">
        <is>
          <t>ZCode</t>
        </is>
      </c>
      <c r="F14" s="4" t="inlineStr">
        <is>
          <t>现有T026/T023/T016接口可先用</t>
        </is>
      </c>
      <c r="G14" s="4" t="inlineStr">
        <is>
          <t>P03；P05；P07；P09</t>
        </is>
      </c>
      <c r="H14" s="4" t="inlineStr">
        <is>
          <t>G2；真实副作用另须G3</t>
        </is>
      </c>
      <c r="I14" s="84" t="n">
        <v>60</v>
      </c>
      <c r="J14" s="85">
        <f>COUNTIFS('09_执行记录'!$B$6:$B$2022,A14,'09_执行记录'!$A$6:$A$2022,"&lt;&gt;")</f>
        <v/>
      </c>
      <c r="K14" s="86">
        <f>IF(COUNTIFS('09_执行记录'!$B$6:$B$2022,A14,'09_执行记录'!$A$6:$A$2022,"&lt;&gt;",'09_执行记录'!$H$6:$H$2022,"&lt;&gt;")=0,"",SUMIFS('09_执行记录'!$H$6:$H$2022,'09_执行记录'!$B$6:$B$2022,A14,'09_执行记录'!$A$6:$A$2022,"&lt;&gt;"))</f>
        <v/>
      </c>
      <c r="L14" s="86">
        <f>IF(COUNTIFS('09_执行记录'!$B$6:$B$2022,A14,'09_执行记录'!$A$6:$A$2022,"&lt;&gt;",'09_执行记录'!$M$6:$M$2022,"&lt;&gt;")=0,"",SUMIFS('09_执行记录'!$M$6:$M$2022,'09_执行记录'!$B$6:$B$2022,A14,'09_执行记录'!$A$6:$A$2022,"&lt;&gt;"))</f>
        <v/>
      </c>
      <c r="M14" s="22" t="inlineStr">
        <is>
          <t>部分可用</t>
        </is>
      </c>
      <c r="N14" s="100" t="inlineStr">
        <is>
          <t>2026-09-10：caa22da3 CommandV1签名任务，PAUSED_WAITING_USER后保留数据安装APK，原taskId恢复RUNNING，resumeCount=2，保持1.0.3并从hold继续，started未重放；pageVerified=false拒绝409。取证后主动取消。其他G2故障不据此自动通过。见 cloudctl-source/artifacts/tasks/P14-multi-agent/P14-INTEGRATION-ACCEPTANCE/summary.md</t>
        </is>
      </c>
      <c r="O14" s="4" t="inlineStr">
        <is>
          <t>T016、T023、T026、T027</t>
        </is>
      </c>
      <c r="P14" s="4">
        <f>1</f>
        <v/>
      </c>
      <c r="Q14" s="22" t="inlineStr">
        <is>
          <t>模块通过</t>
        </is>
      </c>
      <c r="R14" s="22" t="inlineStr">
        <is>
          <t>待核实</t>
        </is>
      </c>
      <c r="S14" s="100" t="inlineStr">
        <is>
          <t>同taskId续跑不再重复开发；后续补失租立停等G2故障，P09/G3真实副作用门禁仍未过。</t>
        </is>
      </c>
    </row>
    <row r="15" ht="100" customHeight="1">
      <c r="A15" s="4" t="inlineStr">
        <is>
          <t>P09</t>
        </is>
      </c>
      <c r="B15" s="4" t="inlineStr">
        <is>
          <t>主链路</t>
        </is>
      </c>
      <c r="C15" s="4" t="inlineStr">
        <is>
          <t>共享提交门禁与不确定结果核对</t>
        </is>
      </c>
      <c r="D15" s="22" t="inlineStr">
        <is>
          <t>进行中</t>
        </is>
      </c>
      <c r="E15" s="22" t="inlineStr">
        <is>
          <t>ZCode</t>
        </is>
      </c>
      <c r="F15" s="4" t="inlineStr">
        <is>
          <t>P01；P08</t>
        </is>
      </c>
      <c r="G15" s="4" t="inlineStr">
        <is>
          <t>P03；P14；P26；P28；P30；P32；P37</t>
        </is>
      </c>
      <c r="H15" s="4" t="inlineStr">
        <is>
          <t>G3（不可后置）</t>
        </is>
      </c>
      <c r="I15" s="84" t="n">
        <v>60</v>
      </c>
      <c r="J15" s="85">
        <f>COUNTIFS('09_执行记录'!$B$6:$B$2022,A15,'09_执行记录'!$A$6:$A$2022,"&lt;&gt;")</f>
        <v/>
      </c>
      <c r="K15" s="86">
        <f>IF(COUNTIFS('09_执行记录'!$B$6:$B$2022,A15,'09_执行记录'!$A$6:$A$2022,"&lt;&gt;",'09_执行记录'!$H$6:$H$2022,"&lt;&gt;")=0,"",SUMIFS('09_执行记录'!$H$6:$H$2022,'09_执行记录'!$B$6:$B$2022,A15,'09_执行记录'!$A$6:$A$2022,"&lt;&gt;"))</f>
        <v/>
      </c>
      <c r="L15" s="86">
        <f>IF(COUNTIFS('09_执行记录'!$B$6:$B$2022,A15,'09_执行记录'!$A$6:$A$2022,"&lt;&gt;",'09_执行记录'!$M$6:$M$2022,"&lt;&gt;")=0,"",SUMIFS('09_执行记录'!$M$6:$M$2022,'09_执行记录'!$B$6:$B$2022,A15,'09_执行记录'!$A$6:$A$2022,"&lt;&gt;"))</f>
        <v/>
      </c>
      <c r="M15" s="22" t="inlineStr">
        <is>
          <t>部分可用</t>
        </is>
      </c>
      <c r="N15" s="100" t="inlineStr">
        <is>
          <t>2026-09-16：claim断开安全释放协议已实现并通过两轮对抗审阅：仅CLAIMED/PREFLIGHT可释放，首次heartbeat为执行边界，GATED/RECONCILING全阻断；B1卡死与B2 churn已修复确认。Android 409/后端44测试通过；未部署未连设备；旧UNKNOWN未触碰。</t>
        </is>
      </c>
      <c r="O15" s="4" t="inlineStr">
        <is>
          <t>T024、T025</t>
        </is>
      </c>
      <c r="P15" s="4">
        <f>MAX(P7,P14)+1</f>
        <v/>
      </c>
      <c r="Q15" s="22" t="inlineStr">
        <is>
          <t>模块通过</t>
        </is>
      </c>
      <c r="R15" s="22" t="inlineStr">
        <is>
          <t>等待用户对UNKNOWN任务a25549e5的裁决（继续KEEP_WAITING或人工核验商品状态）；工程侧后续为部署release端点到首尔并构建安装新APK做真机联调，均需用户明确授权</t>
        </is>
      </c>
      <c r="S15" s="100" t="inlineStr">
        <is>
          <t>cloudctl-source/artifacts/tasks/P09-unknown/xianyu-maintenance-20260916/release-protocol-evidence.md</t>
        </is>
      </c>
    </row>
    <row r="16" ht="100" customHeight="1">
      <c r="A16" s="4" t="inlineStr">
        <is>
          <t>P10</t>
        </is>
      </c>
      <c r="B16" s="4" t="inlineStr">
        <is>
          <t>设备与底座</t>
        </is>
      </c>
      <c r="C16" s="4" t="inlineStr">
        <is>
          <t>WebRTC会话、采集与实时播放器</t>
        </is>
      </c>
      <c r="D16" s="22" t="inlineStr">
        <is>
          <t>进行中</t>
        </is>
      </c>
      <c r="E16" s="22" t="inlineStr">
        <is>
          <t>待认领</t>
        </is>
      </c>
      <c r="F16" s="4" t="inlineStr">
        <is>
          <t>P02；P04</t>
        </is>
      </c>
      <c r="G16" s="4" t="inlineStr">
        <is>
          <t>P48</t>
        </is>
      </c>
      <c r="H16" s="4" t="inlineStr">
        <is>
          <t>G1/G5</t>
        </is>
      </c>
      <c r="I16" s="84" t="n">
        <v>60</v>
      </c>
      <c r="J16" s="85">
        <f>COUNTIFS('09_执行记录'!$B$6:$B$2022,A16,'09_执行记录'!$A$6:$A$2022,"&lt;&gt;")</f>
        <v/>
      </c>
      <c r="K16" s="86">
        <f>IF(COUNTIFS('09_执行记录'!$B$6:$B$2022,A16,'09_执行记录'!$A$6:$A$2022,"&lt;&gt;",'09_执行记录'!$H$6:$H$2022,"&lt;&gt;")=0,"",SUMIFS('09_执行记录'!$H$6:$H$2022,'09_执行记录'!$B$6:$B$2022,A16,'09_执行记录'!$A$6:$A$2022,"&lt;&gt;"))</f>
        <v/>
      </c>
      <c r="L16" s="86">
        <f>IF(COUNTIFS('09_执行记录'!$B$6:$B$2022,A16,'09_执行记录'!$A$6:$A$2022,"&lt;&gt;",'09_执行记录'!$M$6:$M$2022,"&lt;&gt;")=0,"",SUMIFS('09_执行记录'!$M$6:$M$2022,'09_执行记录'!$B$6:$B$2022,A16,'09_执行记录'!$A$6:$A$2022,"&lt;&gt;"))</f>
        <v/>
      </c>
      <c r="M16" s="22" t="inlineStr">
        <is>
          <t>未核实</t>
        </is>
      </c>
      <c r="N16" s="22" t="inlineStr">
        <is>
          <t>2026-09-14回填：投屏/远控第一片（JPEG帧流，WebRTC后置）已集成02a10fd：后端51过1跳；Android 197/0；web typecheck+build过。契约p10-live/20260913.1冻结。真机SIM观看/远控验收（Q04）待Root持锁。</t>
        </is>
      </c>
      <c r="O16" s="4" t="inlineStr">
        <is>
          <t>T029、T030、T031、T032</t>
        </is>
      </c>
      <c r="P16" s="4">
        <f>MAX(P8,P10)+1</f>
        <v/>
      </c>
      <c r="Q16" s="22" t="inlineStr">
        <is>
          <t>模块通过</t>
        </is>
      </c>
      <c r="R16" s="22" t="inlineStr">
        <is>
          <t>待真机验收</t>
        </is>
      </c>
      <c r="S16" s="22" t="inlineStr">
        <is>
          <t>先做单机Q04真机验收（观看→远控交还）；WebRTC升级与长时观看重连（P12）后置；最小成功≠整包验收。</t>
        </is>
      </c>
    </row>
    <row r="17" ht="100" customHeight="1">
      <c r="A17" s="4" t="inlineStr">
        <is>
          <t>P11</t>
        </is>
      </c>
      <c r="B17" s="4" t="inlineStr">
        <is>
          <t>设备与底座</t>
        </is>
      </c>
      <c r="C17" s="4" t="inlineStr">
        <is>
          <t>远控面板、手势输入与交还自动化</t>
        </is>
      </c>
      <c r="D17" s="22" t="inlineStr">
        <is>
          <t>进行中</t>
        </is>
      </c>
      <c r="E17" s="22" t="inlineStr">
        <is>
          <t>待认领</t>
        </is>
      </c>
      <c r="F17" s="4" t="inlineStr">
        <is>
          <t>P08；P10；P07</t>
        </is>
      </c>
      <c r="G17" s="4" t="inlineStr">
        <is>
          <t>P03；P12</t>
        </is>
      </c>
      <c r="H17" s="4" t="inlineStr">
        <is>
          <t>G2/G5</t>
        </is>
      </c>
      <c r="I17" s="84" t="n">
        <v>60</v>
      </c>
      <c r="J17" s="85">
        <f>COUNTIFS('09_执行记录'!$B$6:$B$2022,A17,'09_执行记录'!$A$6:$A$2022,"&lt;&gt;")</f>
        <v/>
      </c>
      <c r="K17" s="86">
        <f>IF(COUNTIFS('09_执行记录'!$B$6:$B$2022,A17,'09_执行记录'!$A$6:$A$2022,"&lt;&gt;",'09_执行记录'!$H$6:$H$2022,"&lt;&gt;")=0,"",SUMIFS('09_执行记录'!$H$6:$H$2022,'09_执行记录'!$B$6:$B$2022,A17,'09_执行记录'!$A$6:$A$2022,"&lt;&gt;"))</f>
        <v/>
      </c>
      <c r="L17" s="86">
        <f>IF(COUNTIFS('09_执行记录'!$B$6:$B$2022,A17,'09_执行记录'!$A$6:$A$2022,"&lt;&gt;",'09_执行记录'!$M$6:$M$2022,"&lt;&gt;")=0,"",SUMIFS('09_执行记录'!$M$6:$M$2022,'09_执行记录'!$B$6:$B$2022,A17,'09_执行记录'!$A$6:$A$2022,"&lt;&gt;"))</f>
        <v/>
      </c>
      <c r="M17" s="22" t="inlineStr">
        <is>
          <t>未核实</t>
        </is>
      </c>
      <c r="N17" s="22" t="inlineStr">
        <is>
          <t>2026-09-14回填：远控动作交接随实时会话第一片交付（集成02a10fd，Android 197/0）；输入通道经IM聚合自有IME闭环（焦点门禁/快照契约/会话抖动三层修复，终验6步SUCCEEDED）。完整接管→点击→交还路径待Q04真机。</t>
        </is>
      </c>
      <c r="O17" s="4" t="inlineStr">
        <is>
          <t>T034、T035、T036、T037</t>
        </is>
      </c>
      <c r="P17" s="4">
        <f>MAX(P14,P16,P13)+1</f>
        <v/>
      </c>
      <c r="Q17" s="22" t="inlineStr">
        <is>
          <t>模块通过（第一片）</t>
        </is>
      </c>
      <c r="R17" s="22" t="inlineStr">
        <is>
          <t>待真机验收</t>
        </is>
      </c>
      <c r="S17" s="22" t="inlineStr">
        <is>
          <t>Q04真机验收接管→点击→交还完整路径；手势输入边界后补。</t>
        </is>
      </c>
    </row>
    <row r="18" ht="100" customHeight="1">
      <c r="A18" s="4" t="inlineStr">
        <is>
          <t>P12</t>
        </is>
      </c>
      <c r="B18" s="4" t="inlineStr">
        <is>
          <t>设备与底座</t>
        </is>
      </c>
      <c r="C18" s="4" t="inlineStr">
        <is>
          <t>长时观看、重连与设备工作台</t>
        </is>
      </c>
      <c r="D18" s="22" t="inlineStr">
        <is>
          <t>未开始</t>
        </is>
      </c>
      <c r="E18" s="22" t="inlineStr">
        <is>
          <t>待认领</t>
        </is>
      </c>
      <c r="F18" s="4" t="inlineStr">
        <is>
          <t>P10；P05</t>
        </is>
      </c>
      <c r="G18" s="4" t="inlineStr">
        <is>
          <t>P04；P11</t>
        </is>
      </c>
      <c r="H18" s="4" t="inlineStr">
        <is>
          <t>G5</t>
        </is>
      </c>
      <c r="I18" s="84" t="n">
        <v>60</v>
      </c>
      <c r="J18" s="85">
        <f>COUNTIFS('09_执行记录'!$B$6:$B$2022,A18,'09_执行记录'!$A$6:$A$2022,"&lt;&gt;")</f>
        <v/>
      </c>
      <c r="K18" s="86">
        <f>IF(COUNTIFS('09_执行记录'!$B$6:$B$2022,A18,'09_执行记录'!$A$6:$A$2022,"&lt;&gt;",'09_执行记录'!$H$6:$H$2022,"&lt;&gt;")=0,"",SUMIFS('09_执行记录'!$H$6:$H$2022,'09_执行记录'!$B$6:$B$2022,A18,'09_执行记录'!$A$6:$A$2022,"&lt;&gt;"))</f>
        <v/>
      </c>
      <c r="L18" s="86">
        <f>IF(COUNTIFS('09_执行记录'!$B$6:$B$2022,A18,'09_执行记录'!$A$6:$A$2022,"&lt;&gt;",'09_执行记录'!$M$6:$M$2022,"&lt;&gt;")=0,"",SUMIFS('09_执行记录'!$M$6:$M$2022,'09_执行记录'!$B$6:$B$2022,A18,'09_执行记录'!$A$6:$A$2022,"&lt;&gt;"))</f>
        <v/>
      </c>
      <c r="M18" s="22" t="inlineStr">
        <is>
          <t>未核实</t>
        </is>
      </c>
      <c r="N18" s="22" t="inlineStr">
        <is>
          <t>原任务未开始；状态继承原上传快照；当前仓库与运行结果待核实。</t>
        </is>
      </c>
      <c r="O18" s="4" t="inlineStr">
        <is>
          <t>T033、T038</t>
        </is>
      </c>
      <c r="P18" s="4">
        <f>MAX(P16,P11)+1</f>
        <v/>
      </c>
      <c r="Q18" s="22" t="inlineStr">
        <is>
          <t>继承待核实</t>
        </is>
      </c>
      <c r="R18" s="22" t="inlineStr">
        <is>
          <t>待核实</t>
        </is>
      </c>
      <c r="S18" s="22" t="inlineStr">
        <is>
          <t>让同一个DeviceLiveScreen进入设备详情；复用P10首帧证据，集中做30分钟与网络切换。</t>
        </is>
      </c>
    </row>
    <row r="19" ht="100" customHeight="1">
      <c r="A19" s="4" t="inlineStr">
        <is>
          <t>P13</t>
        </is>
      </c>
      <c r="B19" s="4" t="inlineStr">
        <is>
          <t>设备与底座</t>
        </is>
      </c>
      <c r="C19" s="4" t="inlineStr">
        <is>
          <t>页面定位器采样与版本回归</t>
        </is>
      </c>
      <c r="D19" s="22" t="inlineStr">
        <is>
          <t>未开始</t>
        </is>
      </c>
      <c r="E19" s="22" t="inlineStr">
        <is>
          <t>待认领</t>
        </is>
      </c>
      <c r="F19" s="4" t="inlineStr">
        <is>
          <t>P04；P07</t>
        </is>
      </c>
      <c r="G19" s="4" t="inlineStr">
        <is>
          <t>P08；P14</t>
        </is>
      </c>
      <c r="H19" s="4" t="inlineStr">
        <is>
          <t>G2/G4</t>
        </is>
      </c>
      <c r="I19" s="84" t="n">
        <v>60</v>
      </c>
      <c r="J19" s="85">
        <f>COUNTIFS('09_执行记录'!$B$6:$B$2022,A19,'09_执行记录'!$A$6:$A$2022,"&lt;&gt;")</f>
        <v/>
      </c>
      <c r="K19" s="86">
        <f>IF(COUNTIFS('09_执行记录'!$B$6:$B$2022,A19,'09_执行记录'!$A$6:$A$2022,"&lt;&gt;",'09_执行记录'!$H$6:$H$2022,"&lt;&gt;")=0,"",SUMIFS('09_执行记录'!$H$6:$H$2022,'09_执行记录'!$B$6:$B$2022,A19,'09_执行记录'!$A$6:$A$2022,"&lt;&gt;"))</f>
        <v/>
      </c>
      <c r="L19" s="86">
        <f>IF(COUNTIFS('09_执行记录'!$B$6:$B$2022,A19,'09_执行记录'!$A$6:$A$2022,"&lt;&gt;",'09_执行记录'!$M$6:$M$2022,"&lt;&gt;")=0,"",SUMIFS('09_执行记录'!$M$6:$M$2022,'09_执行记录'!$B$6:$B$2022,A19,'09_执行记录'!$A$6:$A$2022,"&lt;&gt;"))</f>
        <v/>
      </c>
      <c r="M19" s="22" t="inlineStr">
        <is>
          <t>未核实</t>
        </is>
      </c>
      <c r="N19" s="22" t="inlineStr">
        <is>
          <t>原任务未开始；状态继承原上传快照；当前仓库与运行结果待核实。</t>
        </is>
      </c>
      <c r="O19" s="4" t="inlineStr">
        <is>
          <t>T039</t>
        </is>
      </c>
      <c r="P19" s="4">
        <f>MAX(P10,P13)+1</f>
        <v/>
      </c>
      <c r="Q19" s="22" t="inlineStr">
        <is>
          <t>继承待核实</t>
        </is>
      </c>
      <c r="R19" s="22" t="inlineStr">
        <is>
          <t>待核实</t>
        </is>
      </c>
      <c r="S19" s="22" t="inlineStr">
        <is>
          <t>先采登录/首页/发布/列表等首条闭环所需页面；后续页面随相应业务包补齐。</t>
        </is>
      </c>
    </row>
    <row r="20" ht="100" customHeight="1">
      <c r="A20" s="4" t="inlineStr">
        <is>
          <t>P14</t>
        </is>
      </c>
      <c r="B20" s="4" t="inlineStr">
        <is>
          <t>设备与底座</t>
        </is>
      </c>
      <c r="C20" s="4" t="inlineStr">
        <is>
          <t>Recipe手动发布、签名校验与回退</t>
        </is>
      </c>
      <c r="D20" s="22" t="inlineStr">
        <is>
          <t>验收通过</t>
        </is>
      </c>
      <c r="E20" s="22" t="inlineStr">
        <is>
          <t>Root Worker + 子智能体×3</t>
        </is>
      </c>
      <c r="F20" s="4" t="inlineStr">
        <is>
          <t>P01；P02</t>
        </is>
      </c>
      <c r="G20" s="4" t="inlineStr">
        <is>
          <t>P07；P08；P13</t>
        </is>
      </c>
      <c r="H20" s="4" t="inlineStr">
        <is>
          <t>G4</t>
        </is>
      </c>
      <c r="I20" s="84" t="n">
        <v>60</v>
      </c>
      <c r="J20" s="85">
        <f>COUNTIFS('09_执行记录'!$B$6:$B$2022,A20,'09_执行记录'!$A$6:$A$2022,"&lt;&gt;")</f>
        <v/>
      </c>
      <c r="K20" s="86">
        <f>IF(COUNTIFS('09_执行记录'!$B$6:$B$2022,A20,'09_执行记录'!$A$6:$A$2022,"&lt;&gt;",'09_执行记录'!$H$6:$H$2022,"&lt;&gt;")=0,"",SUMIFS('09_执行记录'!$H$6:$H$2022,'09_执行记录'!$B$6:$B$2022,A20,'09_执行记录'!$A$6:$A$2022,"&lt;&gt;"))</f>
        <v/>
      </c>
      <c r="L20" s="86">
        <f>IF(COUNTIFS('09_执行记录'!$B$6:$B$2022,A20,'09_执行记录'!$A$6:$A$2022,"&lt;&gt;",'09_执行记录'!$M$6:$M$2022,"&lt;&gt;")=0,"",SUMIFS('09_执行记录'!$M$6:$M$2022,'09_执行记录'!$B$6:$B$2022,A20,'09_执行记录'!$A$6:$A$2022,"&lt;&gt;"))</f>
        <v/>
      </c>
      <c r="M20" s="22" t="inlineStr">
        <is>
          <t>可用</t>
        </is>
      </c>
      <c r="N20" s="100" t="inlineStr">
        <is>
          <t>2026-09-10 OnePlus单机验收通过：网页人工登记/发布/回退；签名版本真实领取执行；caa22da3同任务运行中发布新版、暂停、APK重启、恢复均固定1.0.3且不重放已完成步；真实HTTPS 685→32字节截断时保留1.0.1，恢复后自动验签激活1.0.4；最后回退1.0.1并由c8ec815c探针成功。62 Android单测、3真机存储故障测试通过。见 cloudctl-source/artifacts/tasks/P14-multi-agent/P14-INTEGRATION-ACCEPTANCE/summary.md</t>
        </is>
      </c>
      <c r="O20" s="4" t="inlineStr">
        <is>
          <t>T040、T041、T042</t>
        </is>
      </c>
      <c r="P20" s="4">
        <f>MAX(P7,P8)+1</f>
        <v/>
      </c>
      <c r="Q20" s="22" t="inlineStr">
        <is>
          <t>模块通过</t>
        </is>
      </c>
      <c r="R20" s="22" t="inlineStr">
        <is>
          <t>无</t>
        </is>
      </c>
      <c r="S20" s="100" t="inlineStr">
        <is>
          <t>P14依赖已解锁；允许按READY规则安排P15。P08同任务恢复已补证，其他G2故障及P09/G3仍需独立验收。公网Basic Auth登录未计入本次通过范围。</t>
        </is>
      </c>
    </row>
    <row r="21" ht="100" customHeight="1">
      <c r="A21" s="4" t="inlineStr">
        <is>
          <t>P15</t>
        </is>
      </c>
      <c r="B21" s="4" t="inlineStr">
        <is>
          <t>设备与底座</t>
        </is>
      </c>
      <c r="C21" s="4" t="inlineStr">
        <is>
          <t>APK整包升级与系统确认</t>
        </is>
      </c>
      <c r="D21" s="22" t="inlineStr">
        <is>
          <t>未开始</t>
        </is>
      </c>
      <c r="E21" s="22" t="inlineStr">
        <is>
          <t>待认领</t>
        </is>
      </c>
      <c r="F21" s="4" t="inlineStr">
        <is>
          <t>P04；P14</t>
        </is>
      </c>
      <c r="G21" s="4" t="inlineStr">
        <is>
          <t>P08；P09</t>
        </is>
      </c>
      <c r="H21" s="4" t="inlineStr">
        <is>
          <t>G2/G4</t>
        </is>
      </c>
      <c r="I21" s="84" t="n">
        <v>60</v>
      </c>
      <c r="J21" s="85">
        <f>COUNTIFS('09_执行记录'!$B$6:$B$2022,A21,'09_执行记录'!$A$6:$A$2022,"&lt;&gt;")</f>
        <v/>
      </c>
      <c r="K21" s="86">
        <f>IF(COUNTIFS('09_执行记录'!$B$6:$B$2022,A21,'09_执行记录'!$A$6:$A$2022,"&lt;&gt;",'09_执行记录'!$H$6:$H$2022,"&lt;&gt;")=0,"",SUMIFS('09_执行记录'!$H$6:$H$2022,'09_执行记录'!$B$6:$B$2022,A21,'09_执行记录'!$A$6:$A$2022,"&lt;&gt;"))</f>
        <v/>
      </c>
      <c r="L21" s="86">
        <f>IF(COUNTIFS('09_执行记录'!$B$6:$B$2022,A21,'09_执行记录'!$A$6:$A$2022,"&lt;&gt;",'09_执行记录'!$M$6:$M$2022,"&lt;&gt;")=0,"",SUMIFS('09_执行记录'!$M$6:$M$2022,'09_执行记录'!$B$6:$B$2022,A21,'09_执行记录'!$A$6:$A$2022,"&lt;&gt;"))</f>
        <v/>
      </c>
      <c r="M21" s="22" t="inlineStr">
        <is>
          <t>未核实</t>
        </is>
      </c>
      <c r="N21" s="22" t="inlineStr">
        <is>
          <t>原任务未开始；状态继承原上传快照；当前仓库与运行结果待核实。</t>
        </is>
      </c>
      <c r="O21" s="4" t="inlineStr">
        <is>
          <t>T043</t>
        </is>
      </c>
      <c r="P21" s="4">
        <f>MAX(P10,P20)+1</f>
        <v/>
      </c>
      <c r="Q21" s="22" t="inlineStr">
        <is>
          <t>继承待核实</t>
        </is>
      </c>
      <c r="R21" s="22" t="inlineStr">
        <is>
          <t>待核实</t>
        </is>
      </c>
      <c r="S21" s="22" t="inlineStr">
        <is>
          <t>在现有Companion上做一次保留数据升级；不引入Root/Device Owner或静默安装前提。</t>
        </is>
      </c>
    </row>
    <row r="22" ht="100" customHeight="1">
      <c r="A22" s="4" t="inlineStr">
        <is>
          <t>P16</t>
        </is>
      </c>
      <c r="B22" s="4" t="inlineStr">
        <is>
          <t>设备与底座</t>
        </is>
      </c>
      <c r="C22" s="4" t="inlineStr">
        <is>
          <t>媒体上传、持久资产与权限</t>
        </is>
      </c>
      <c r="D22" s="22" t="inlineStr">
        <is>
          <t>未开始</t>
        </is>
      </c>
      <c r="E22" s="22" t="inlineStr">
        <is>
          <t>待认领</t>
        </is>
      </c>
      <c r="F22" s="4" t="inlineStr">
        <is>
          <t>P02</t>
        </is>
      </c>
      <c r="G22" s="4" t="inlineStr">
        <is>
          <t>无</t>
        </is>
      </c>
      <c r="H22" s="4" t="inlineStr">
        <is>
          <t>G1/G6</t>
        </is>
      </c>
      <c r="I22" s="84" t="n">
        <v>60</v>
      </c>
      <c r="J22" s="85">
        <f>COUNTIFS('09_执行记录'!$B$6:$B$2022,A22,'09_执行记录'!$A$6:$A$2022,"&lt;&gt;")</f>
        <v/>
      </c>
      <c r="K22" s="86">
        <f>IF(COUNTIFS('09_执行记录'!$B$6:$B$2022,A22,'09_执行记录'!$A$6:$A$2022,"&lt;&gt;",'09_执行记录'!$H$6:$H$2022,"&lt;&gt;")=0,"",SUMIFS('09_执行记录'!$H$6:$H$2022,'09_执行记录'!$B$6:$B$2022,A22,'09_执行记录'!$A$6:$A$2022,"&lt;&gt;"))</f>
        <v/>
      </c>
      <c r="L22" s="86">
        <f>IF(COUNTIFS('09_执行记录'!$B$6:$B$2022,A22,'09_执行记录'!$A$6:$A$2022,"&lt;&gt;",'09_执行记录'!$M$6:$M$2022,"&lt;&gt;")=0,"",SUMIFS('09_执行记录'!$M$6:$M$2022,'09_执行记录'!$B$6:$B$2022,A22,'09_执行记录'!$A$6:$A$2022,"&lt;&gt;"))</f>
        <v/>
      </c>
      <c r="M22" s="22" t="inlineStr">
        <is>
          <t>未核实</t>
        </is>
      </c>
      <c r="N22" s="22" t="inlineStr">
        <is>
          <t>原任务未开始，本次未重跑代码。 审阅B007/B015标已修，但关联任务仍未开始；先核实复用改动。</t>
        </is>
      </c>
      <c r="O22" s="4" t="inlineStr">
        <is>
          <t>T044、T045</t>
        </is>
      </c>
      <c r="P22" s="4">
        <f>MAX(P8)+1</f>
        <v/>
      </c>
      <c r="Q22" s="22" t="inlineStr">
        <is>
          <t>继承待核实</t>
        </is>
      </c>
      <c r="R22" s="22" t="inlineStr">
        <is>
          <t>待核实</t>
        </is>
      </c>
      <c r="S22" s="22" t="inlineStr">
        <is>
          <t>先把MediaAsset接口/fixture提供给编辑器和下载模块；后端与上传UI同一包完成。</t>
        </is>
      </c>
    </row>
    <row r="23" ht="100" customHeight="1">
      <c r="A23" s="4" t="inlineStr">
        <is>
          <t>P17</t>
        </is>
      </c>
      <c r="B23" s="4" t="inlineStr">
        <is>
          <t>设备与底座</t>
        </is>
      </c>
      <c r="C23" s="4" t="inlineStr">
        <is>
          <t>素材下发、流式下载与确定选取</t>
        </is>
      </c>
      <c r="D23" s="22" t="inlineStr">
        <is>
          <t>未开始</t>
        </is>
      </c>
      <c r="E23" s="22" t="inlineStr">
        <is>
          <t>待认领</t>
        </is>
      </c>
      <c r="F23" s="4" t="inlineStr">
        <is>
          <t>P16；P06；P07</t>
        </is>
      </c>
      <c r="G23" s="4" t="inlineStr">
        <is>
          <t>P03；P13；P14</t>
        </is>
      </c>
      <c r="H23" s="4" t="inlineStr">
        <is>
          <t>G1/G2/G3</t>
        </is>
      </c>
      <c r="I23" s="84" t="n">
        <v>60</v>
      </c>
      <c r="J23" s="85">
        <f>COUNTIFS('09_执行记录'!$B$6:$B$2022,A23,'09_执行记录'!$A$6:$A$2022,"&lt;&gt;")</f>
        <v/>
      </c>
      <c r="K23" s="86">
        <f>IF(COUNTIFS('09_执行记录'!$B$6:$B$2022,A23,'09_执行记录'!$A$6:$A$2022,"&lt;&gt;",'09_执行记录'!$H$6:$H$2022,"&lt;&gt;")=0,"",SUMIFS('09_执行记录'!$H$6:$H$2022,'09_执行记录'!$B$6:$B$2022,A23,'09_执行记录'!$A$6:$A$2022,"&lt;&gt;"))</f>
        <v/>
      </c>
      <c r="L23" s="86">
        <f>IF(COUNTIFS('09_执行记录'!$B$6:$B$2022,A23,'09_执行记录'!$A$6:$A$2022,"&lt;&gt;",'09_执行记录'!$M$6:$M$2022,"&lt;&gt;")=0,"",SUMIFS('09_执行记录'!$M$6:$M$2022,'09_执行记录'!$B$6:$B$2022,A23,'09_执行记录'!$A$6:$A$2022,"&lt;&gt;"))</f>
        <v/>
      </c>
      <c r="M23" s="22" t="inlineStr">
        <is>
          <t>未核实</t>
        </is>
      </c>
      <c r="N23" s="22" t="inlineStr">
        <is>
          <t>原任务未开始，本次未重跑代码。 审阅B025标已修，但关联任务仍未开始；先核实复用改动。</t>
        </is>
      </c>
      <c r="O23" s="4" t="inlineStr">
        <is>
          <t>T046、T047、T048</t>
        </is>
      </c>
      <c r="P23" s="4">
        <f>MAX(P22,P12,P13)+1</f>
        <v/>
      </c>
      <c r="Q23" s="22" t="inlineStr">
        <is>
          <t>继承待核实</t>
        </is>
      </c>
      <c r="R23" s="22" t="inlineStr">
        <is>
          <t>待核实</t>
        </is>
      </c>
      <c r="S23" s="22" t="inlineStr">
        <is>
          <t>先下发一图一视频验证manifest；再在真实图库验证选取，不等完整发布页面全部完成。</t>
        </is>
      </c>
    </row>
    <row r="24" ht="100" customHeight="1">
      <c r="A24" s="4" t="inlineStr">
        <is>
          <t>P18</t>
        </is>
      </c>
      <c r="B24" s="4" t="inlineStr">
        <is>
          <t>设备与底座</t>
        </is>
      </c>
      <c r="C24" s="4" t="inlineStr">
        <is>
          <t>文件推送与截图证据闭环</t>
        </is>
      </c>
      <c r="D24" s="22" t="inlineStr">
        <is>
          <t>未开始</t>
        </is>
      </c>
      <c r="E24" s="22" t="inlineStr">
        <is>
          <t>待认领</t>
        </is>
      </c>
      <c r="F24" s="4" t="inlineStr">
        <is>
          <t>P16；P17</t>
        </is>
      </c>
      <c r="G24" s="4" t="inlineStr">
        <is>
          <t>P05；P11</t>
        </is>
      </c>
      <c r="H24" s="4" t="inlineStr">
        <is>
          <t>G1/G6</t>
        </is>
      </c>
      <c r="I24" s="84" t="n">
        <v>60</v>
      </c>
      <c r="J24" s="85">
        <f>COUNTIFS('09_执行记录'!$B$6:$B$2022,A24,'09_执行记录'!$A$6:$A$2022,"&lt;&gt;")</f>
        <v/>
      </c>
      <c r="K24" s="86">
        <f>IF(COUNTIFS('09_执行记录'!$B$6:$B$2022,A24,'09_执行记录'!$A$6:$A$2022,"&lt;&gt;",'09_执行记录'!$H$6:$H$2022,"&lt;&gt;")=0,"",SUMIFS('09_执行记录'!$H$6:$H$2022,'09_执行记录'!$B$6:$B$2022,A24,'09_执行记录'!$A$6:$A$2022,"&lt;&gt;"))</f>
        <v/>
      </c>
      <c r="L24" s="86">
        <f>IF(COUNTIFS('09_执行记录'!$B$6:$B$2022,A24,'09_执行记录'!$A$6:$A$2022,"&lt;&gt;",'09_执行记录'!$M$6:$M$2022,"&lt;&gt;")=0,"",SUMIFS('09_执行记录'!$M$6:$M$2022,'09_执行记录'!$B$6:$B$2022,A24,'09_执行记录'!$A$6:$A$2022,"&lt;&gt;"))</f>
        <v/>
      </c>
      <c r="M24" s="22" t="inlineStr">
        <is>
          <t>未核实</t>
        </is>
      </c>
      <c r="N24" s="22" t="inlineStr">
        <is>
          <t>原任务未开始，本次未重跑代码。 审阅B028标已修，但关联任务仍未开始；先核实复用改动。</t>
        </is>
      </c>
      <c r="O24" s="4" t="inlineStr">
        <is>
          <t>T049、T050</t>
        </is>
      </c>
      <c r="P24" s="4">
        <f>MAX(P22,P23)+1</f>
        <v/>
      </c>
      <c r="Q24" s="22" t="inlineStr">
        <is>
          <t>继承待核实</t>
        </is>
      </c>
      <c r="R24" s="22" t="inlineStr">
        <is>
          <t>待核实</t>
        </is>
      </c>
      <c r="S24" s="22" t="inlineStr">
        <is>
          <t>复用MediaDelivery与资产上传，不新建独立文件服务；先做一次推送和一次失败截图。</t>
        </is>
      </c>
    </row>
    <row r="25" ht="100" customHeight="1">
      <c r="A25" s="4" t="inlineStr">
        <is>
          <t>P19</t>
        </is>
      </c>
      <c r="B25" s="4" t="inlineStr">
        <is>
          <t>设备与底座</t>
        </is>
      </c>
      <c r="C25" s="4" t="inlineStr">
        <is>
          <t>水印配置、派生素材与真实预览</t>
        </is>
      </c>
      <c r="D25" s="22" t="inlineStr">
        <is>
          <t>未开始</t>
        </is>
      </c>
      <c r="E25" s="22" t="inlineStr">
        <is>
          <t>待认领</t>
        </is>
      </c>
      <c r="F25" s="4" t="inlineStr">
        <is>
          <t>P16</t>
        </is>
      </c>
      <c r="G25" s="4" t="inlineStr">
        <is>
          <t>P06；P21；P28</t>
        </is>
      </c>
      <c r="H25" s="4" t="inlineStr">
        <is>
          <t>G3/G6</t>
        </is>
      </c>
      <c r="I25" s="84" t="n">
        <v>60</v>
      </c>
      <c r="J25" s="85">
        <f>COUNTIFS('09_执行记录'!$B$6:$B$2022,A25,'09_执行记录'!$A$6:$A$2022,"&lt;&gt;")</f>
        <v/>
      </c>
      <c r="K25" s="86">
        <f>IF(COUNTIFS('09_执行记录'!$B$6:$B$2022,A25,'09_执行记录'!$A$6:$A$2022,"&lt;&gt;",'09_执行记录'!$H$6:$H$2022,"&lt;&gt;")=0,"",SUMIFS('09_执行记录'!$H$6:$H$2022,'09_执行记录'!$B$6:$B$2022,A25,'09_执行记录'!$A$6:$A$2022,"&lt;&gt;"))</f>
        <v/>
      </c>
      <c r="L25" s="86">
        <f>IF(COUNTIFS('09_执行记录'!$B$6:$B$2022,A25,'09_执行记录'!$A$6:$A$2022,"&lt;&gt;",'09_执行记录'!$M$6:$M$2022,"&lt;&gt;")=0,"",SUMIFS('09_执行记录'!$M$6:$M$2022,'09_执行记录'!$B$6:$B$2022,A25,'09_执行记录'!$A$6:$A$2022,"&lt;&gt;"))</f>
        <v/>
      </c>
      <c r="M25" s="22" t="inlineStr">
        <is>
          <t>未核实</t>
        </is>
      </c>
      <c r="N25" s="22" t="inlineStr">
        <is>
          <t>原任务未开始；状态继承原上传快照；当前仓库与运行结果待核实。</t>
        </is>
      </c>
      <c r="O25" s="4" t="inlineStr">
        <is>
          <t>T051、T052、T053</t>
        </is>
      </c>
      <c r="P25" s="4">
        <f>MAX(P22)+1</f>
        <v/>
      </c>
      <c r="Q25" s="22" t="inlineStr">
        <is>
          <t>继承待核实</t>
        </is>
      </c>
      <c r="R25" s="22" t="inlineStr">
        <is>
          <t>待核实</t>
        </is>
      </c>
      <c r="S25" s="22" t="inlineStr">
        <is>
          <t>复用现有派生工作流；一个模板贯通配置→预览→输出asset，随后补全field-map有效字段。</t>
        </is>
      </c>
    </row>
    <row r="26" ht="100" customHeight="1">
      <c r="A26" s="4" t="inlineStr">
        <is>
          <t>P20</t>
        </is>
      </c>
      <c r="B26" s="4" t="inlineStr">
        <is>
          <t>设备与底座</t>
        </is>
      </c>
      <c r="C26" s="4" t="inlineStr">
        <is>
          <t>地址、描述和标签共享资源池</t>
        </is>
      </c>
      <c r="D26" s="22" t="inlineStr">
        <is>
          <t>未开始</t>
        </is>
      </c>
      <c r="E26" s="22" t="inlineStr">
        <is>
          <t>待认领</t>
        </is>
      </c>
      <c r="F26" s="4" t="inlineStr">
        <is>
          <t>P02；P03</t>
        </is>
      </c>
      <c r="G26" s="4" t="inlineStr">
        <is>
          <t>P06；P21；P28</t>
        </is>
      </c>
      <c r="H26" s="4" t="inlineStr">
        <is>
          <t>G1/G3</t>
        </is>
      </c>
      <c r="I26" s="84" t="n">
        <v>60</v>
      </c>
      <c r="J26" s="85">
        <f>COUNTIFS('09_执行记录'!$B$6:$B$2022,A26,'09_执行记录'!$A$6:$A$2022,"&lt;&gt;")</f>
        <v/>
      </c>
      <c r="K26" s="86">
        <f>IF(COUNTIFS('09_执行记录'!$B$6:$B$2022,A26,'09_执行记录'!$A$6:$A$2022,"&lt;&gt;",'09_执行记录'!$H$6:$H$2022,"&lt;&gt;")=0,"",SUMIFS('09_执行记录'!$H$6:$H$2022,'09_执行记录'!$B$6:$B$2022,A26,'09_执行记录'!$A$6:$A$2022,"&lt;&gt;"))</f>
        <v/>
      </c>
      <c r="L26" s="86">
        <f>IF(COUNTIFS('09_执行记录'!$B$6:$B$2022,A26,'09_执行记录'!$A$6:$A$2022,"&lt;&gt;",'09_执行记录'!$M$6:$M$2022,"&lt;&gt;")=0,"",SUMIFS('09_执行记录'!$M$6:$M$2022,'09_执行记录'!$B$6:$B$2022,A26,'09_执行记录'!$A$6:$A$2022,"&lt;&gt;"))</f>
        <v/>
      </c>
      <c r="M26" s="22" t="inlineStr">
        <is>
          <t>未核实</t>
        </is>
      </c>
      <c r="N26" s="22" t="inlineStr">
        <is>
          <t>原任务未开始；状态继承原上传快照；当前仓库与运行结果待核实。</t>
        </is>
      </c>
      <c r="O26" s="4" t="inlineStr">
        <is>
          <t>T054、T055、T056、T057</t>
        </is>
      </c>
      <c r="P26" s="4">
        <f>MAX(P8,P9)+1</f>
        <v/>
      </c>
      <c r="Q26" s="22" t="inlineStr">
        <is>
          <t>继承待核实</t>
        </is>
      </c>
      <c r="R26" s="22" t="inlineStr">
        <is>
          <t>待核实</t>
        </is>
      </c>
      <c r="S26" s="22" t="inlineStr">
        <is>
          <t>先交共享PoolSelectionSnapshot与CRUD，再接三个薄页面；不为每类池重复建库存储。</t>
        </is>
      </c>
    </row>
    <row r="27" ht="100" customHeight="1">
      <c r="A27" s="4" t="inlineStr">
        <is>
          <t>P21</t>
        </is>
      </c>
      <c r="B27" s="4" t="inlineStr">
        <is>
          <t>设备与底座</t>
        </is>
      </c>
      <c r="C27" s="4" t="inlineStr">
        <is>
          <t>商品模型、编辑、分组与列表</t>
        </is>
      </c>
      <c r="D27" s="22" t="inlineStr">
        <is>
          <t>未开始</t>
        </is>
      </c>
      <c r="E27" s="22" t="inlineStr">
        <is>
          <t>待认领</t>
        </is>
      </c>
      <c r="F27" s="4" t="inlineStr">
        <is>
          <t>P02；P16</t>
        </is>
      </c>
      <c r="G27" s="4" t="inlineStr">
        <is>
          <t>P19；P20</t>
        </is>
      </c>
      <c r="H27" s="4" t="inlineStr">
        <is>
          <t>G1/G6</t>
        </is>
      </c>
      <c r="I27" s="84" t="n">
        <v>60</v>
      </c>
      <c r="J27" s="85">
        <f>COUNTIFS('09_执行记录'!$B$6:$B$2022,A27,'09_执行记录'!$A$6:$A$2022,"&lt;&gt;")</f>
        <v/>
      </c>
      <c r="K27" s="86">
        <f>IF(COUNTIFS('09_执行记录'!$B$6:$B$2022,A27,'09_执行记录'!$A$6:$A$2022,"&lt;&gt;",'09_执行记录'!$H$6:$H$2022,"&lt;&gt;")=0,"",SUMIFS('09_执行记录'!$H$6:$H$2022,'09_执行记录'!$B$6:$B$2022,A27,'09_执行记录'!$A$6:$A$2022,"&lt;&gt;"))</f>
        <v/>
      </c>
      <c r="L27" s="86">
        <f>IF(COUNTIFS('09_执行记录'!$B$6:$B$2022,A27,'09_执行记录'!$A$6:$A$2022,"&lt;&gt;",'09_执行记录'!$M$6:$M$2022,"&lt;&gt;")=0,"",SUMIFS('09_执行记录'!$M$6:$M$2022,'09_执行记录'!$B$6:$B$2022,A27,'09_执行记录'!$A$6:$A$2022,"&lt;&gt;"))</f>
        <v/>
      </c>
      <c r="M27" s="22" t="inlineStr">
        <is>
          <t>未核实</t>
        </is>
      </c>
      <c r="N27" s="22" t="inlineStr">
        <is>
          <t>原任务T058–T062未开始；但B001标代码已修/待联调，先核实可复用变更，勿重复修复。 审阅B001/B007/B005/B006标已修，但关联任务仍未开始；先核实复用改动。</t>
        </is>
      </c>
      <c r="O27" s="4" t="inlineStr">
        <is>
          <t>T058、T059、T060、T061、T062</t>
        </is>
      </c>
      <c r="P27" s="4">
        <f>MAX(P8,P22)+1</f>
        <v/>
      </c>
      <c r="Q27" s="22" t="inlineStr">
        <is>
          <t>继承待核实</t>
        </is>
      </c>
      <c r="R27" s="22" t="inlineStr">
        <is>
          <t>待核实</t>
        </is>
      </c>
      <c r="S27" s="22" t="inlineStr">
        <is>
          <t>先做价格/外键迁移与一条商品编辑闭环，再接列表分组；水印/池字段允许先接契约，但整包验收不能漏联调。</t>
        </is>
      </c>
    </row>
    <row r="28" ht="100" customHeight="1">
      <c r="A28" s="4" t="inlineStr">
        <is>
          <t>P22</t>
        </is>
      </c>
      <c r="B28" s="4" t="inlineStr">
        <is>
          <t>设备与底座</t>
        </is>
      </c>
      <c r="C28" s="4" t="inlineStr">
        <is>
          <t>商品导入与安全导出</t>
        </is>
      </c>
      <c r="D28" s="22" t="inlineStr">
        <is>
          <t>未开始</t>
        </is>
      </c>
      <c r="E28" s="22" t="inlineStr">
        <is>
          <t>待认领</t>
        </is>
      </c>
      <c r="F28" s="4" t="inlineStr">
        <is>
          <t>P21；P16</t>
        </is>
      </c>
      <c r="G28" s="4" t="inlineStr">
        <is>
          <t>P24；P41</t>
        </is>
      </c>
      <c r="H28" s="4" t="inlineStr">
        <is>
          <t>G1/G6</t>
        </is>
      </c>
      <c r="I28" s="84" t="n">
        <v>60</v>
      </c>
      <c r="J28" s="85">
        <f>COUNTIFS('09_执行记录'!$B$6:$B$2022,A28,'09_执行记录'!$A$6:$A$2022,"&lt;&gt;")</f>
        <v/>
      </c>
      <c r="K28" s="86">
        <f>IF(COUNTIFS('09_执行记录'!$B$6:$B$2022,A28,'09_执行记录'!$A$6:$A$2022,"&lt;&gt;",'09_执行记录'!$H$6:$H$2022,"&lt;&gt;")=0,"",SUMIFS('09_执行记录'!$H$6:$H$2022,'09_执行记录'!$B$6:$B$2022,A28,'09_执行记录'!$A$6:$A$2022,"&lt;&gt;"))</f>
        <v/>
      </c>
      <c r="L28" s="86">
        <f>IF(COUNTIFS('09_执行记录'!$B$6:$B$2022,A28,'09_执行记录'!$A$6:$A$2022,"&lt;&gt;",'09_执行记录'!$M$6:$M$2022,"&lt;&gt;")=0,"",SUMIFS('09_执行记录'!$M$6:$M$2022,'09_执行记录'!$B$6:$B$2022,A28,'09_执行记录'!$A$6:$A$2022,"&lt;&gt;"))</f>
        <v/>
      </c>
      <c r="M28" s="22" t="inlineStr">
        <is>
          <t>未核实</t>
        </is>
      </c>
      <c r="N28" s="22" t="inlineStr">
        <is>
          <t>原任务未开始；状态继承原上传快照；当前仓库与运行结果待核实。</t>
        </is>
      </c>
      <c r="O28" s="4" t="inlineStr">
        <is>
          <t>T063、T064、T065、T070</t>
        </is>
      </c>
      <c r="P28" s="4">
        <f>MAX(P27,P22)+1</f>
        <v/>
      </c>
      <c r="Q28" s="22" t="inlineStr">
        <is>
          <t>继承待核实</t>
        </is>
      </c>
      <c r="R28" s="22" t="inlineStr">
        <is>
          <t>待核实</t>
        </is>
      </c>
      <c r="S28" s="22" t="inlineStr">
        <is>
          <t>固定小样本：正常、错误行、重复批次、缺媒体；先跑后端批次，再接预览/提交页面。</t>
        </is>
      </c>
    </row>
    <row r="29" ht="100" customHeight="1">
      <c r="A29" s="4" t="inlineStr">
        <is>
          <t>P23</t>
        </is>
      </c>
      <c r="B29" s="4" t="inlineStr">
        <is>
          <t>设备与底座</t>
        </is>
      </c>
      <c r="C29" s="4" t="inlineStr">
        <is>
          <t>一次性旧浏览器数据迁移</t>
        </is>
      </c>
      <c r="D29" s="22" t="inlineStr">
        <is>
          <t>未开始</t>
        </is>
      </c>
      <c r="E29" s="22" t="inlineStr">
        <is>
          <t>待认领</t>
        </is>
      </c>
      <c r="F29" s="4" t="inlineStr">
        <is>
          <t>P21；P20；P19</t>
        </is>
      </c>
      <c r="G29" s="4" t="inlineStr">
        <is>
          <t>P24</t>
        </is>
      </c>
      <c r="H29" s="4" t="inlineStr">
        <is>
          <t>G6</t>
        </is>
      </c>
      <c r="I29" s="84" t="n">
        <v>60</v>
      </c>
      <c r="J29" s="85">
        <f>COUNTIFS('09_执行记录'!$B$6:$B$2022,A29,'09_执行记录'!$A$6:$A$2022,"&lt;&gt;")</f>
        <v/>
      </c>
      <c r="K29" s="86">
        <f>IF(COUNTIFS('09_执行记录'!$B$6:$B$2022,A29,'09_执行记录'!$A$6:$A$2022,"&lt;&gt;",'09_执行记录'!$H$6:$H$2022,"&lt;&gt;")=0,"",SUMIFS('09_执行记录'!$H$6:$H$2022,'09_执行记录'!$B$6:$B$2022,A29,'09_执行记录'!$A$6:$A$2022,"&lt;&gt;"))</f>
        <v/>
      </c>
      <c r="L29" s="86">
        <f>IF(COUNTIFS('09_执行记录'!$B$6:$B$2022,A29,'09_执行记录'!$A$6:$A$2022,"&lt;&gt;",'09_执行记录'!$M$6:$M$2022,"&lt;&gt;")=0,"",SUMIFS('09_执行记录'!$M$6:$M$2022,'09_执行记录'!$B$6:$B$2022,A29,'09_执行记录'!$A$6:$A$2022,"&lt;&gt;"))</f>
        <v/>
      </c>
      <c r="M29" s="22" t="inlineStr">
        <is>
          <t>未核实</t>
        </is>
      </c>
      <c r="N29" s="22" t="inlineStr">
        <is>
          <t>原任务未开始；状态继承原上传快照；当前仓库与运行结果待核实。</t>
        </is>
      </c>
      <c r="O29" s="4" t="inlineStr">
        <is>
          <t>T066</t>
        </is>
      </c>
      <c r="P29" s="4">
        <f>MAX(P27,P26,P25)+1</f>
        <v/>
      </c>
      <c r="Q29" s="22" t="inlineStr">
        <is>
          <t>继承待核实</t>
        </is>
      </c>
      <c r="R29" s="22" t="inlineStr">
        <is>
          <t>待核实</t>
        </is>
      </c>
      <c r="S29" s="22" t="inlineStr">
        <is>
          <t>先备份一份旧localStorage样本；与P22复用预检能力，只迁移真实数据。</t>
        </is>
      </c>
    </row>
    <row r="30" ht="100" customHeight="1">
      <c r="A30" s="4" t="inlineStr">
        <is>
          <t>P24</t>
        </is>
      </c>
      <c r="B30" s="4" t="inlineStr">
        <is>
          <t>设备与底座</t>
        </is>
      </c>
      <c r="C30" s="4" t="inlineStr">
        <is>
          <t>帖子编辑、分组、修订与归档</t>
        </is>
      </c>
      <c r="D30" s="22" t="inlineStr">
        <is>
          <t>未开始</t>
        </is>
      </c>
      <c r="E30" s="22" t="inlineStr">
        <is>
          <t>待认领</t>
        </is>
      </c>
      <c r="F30" s="4" t="inlineStr">
        <is>
          <t>P02；P16</t>
        </is>
      </c>
      <c r="G30" s="4" t="inlineStr">
        <is>
          <t>无</t>
        </is>
      </c>
      <c r="H30" s="4" t="inlineStr">
        <is>
          <t>G1/G6</t>
        </is>
      </c>
      <c r="I30" s="84" t="n">
        <v>60</v>
      </c>
      <c r="J30" s="85">
        <f>COUNTIFS('09_执行记录'!$B$6:$B$2022,A30,'09_执行记录'!$A$6:$A$2022,"&lt;&gt;")</f>
        <v/>
      </c>
      <c r="K30" s="86">
        <f>IF(COUNTIFS('09_执行记录'!$B$6:$B$2022,A30,'09_执行记录'!$A$6:$A$2022,"&lt;&gt;",'09_执行记录'!$H$6:$H$2022,"&lt;&gt;")=0,"",SUMIFS('09_执行记录'!$H$6:$H$2022,'09_执行记录'!$B$6:$B$2022,A30,'09_执行记录'!$A$6:$A$2022,"&lt;&gt;"))</f>
        <v/>
      </c>
      <c r="L30" s="86">
        <f>IF(COUNTIFS('09_执行记录'!$B$6:$B$2022,A30,'09_执行记录'!$A$6:$A$2022,"&lt;&gt;",'09_执行记录'!$M$6:$M$2022,"&lt;&gt;")=0,"",SUMIFS('09_执行记录'!$M$6:$M$2022,'09_执行记录'!$B$6:$B$2022,A30,'09_执行记录'!$A$6:$A$2022,"&lt;&gt;"))</f>
        <v/>
      </c>
      <c r="M30" s="22" t="inlineStr">
        <is>
          <t>未核实</t>
        </is>
      </c>
      <c r="N30" s="22" t="inlineStr">
        <is>
          <t>原任务未开始，本次未重跑代码。 审阅B012/B015标已修，但关联任务仍未开始；先核实复用改动。</t>
        </is>
      </c>
      <c r="O30" s="4" t="inlineStr">
        <is>
          <t>T067、T068、T069</t>
        </is>
      </c>
      <c r="P30" s="4">
        <f>MAX(P8,P22)+1</f>
        <v/>
      </c>
      <c r="Q30" s="22" t="inlineStr">
        <is>
          <t>继承待核实</t>
        </is>
      </c>
      <c r="R30" s="22" t="inlineStr">
        <is>
          <t>待核实</t>
        </is>
      </c>
      <c r="S30" s="22" t="inlineStr">
        <is>
          <t>先做一篇图文与一篇视频内容的跨浏览器保存，再接列表/分组，不混入手机发布。</t>
        </is>
      </c>
    </row>
    <row r="31" ht="100" customHeight="1">
      <c r="A31" s="4" t="inlineStr">
        <is>
          <t>P25</t>
        </is>
      </c>
      <c r="B31" s="4" t="inlineStr">
        <is>
          <t>双平台发布</t>
        </is>
      </c>
      <c r="C31" s="4" t="inlineStr">
        <is>
          <t>小红书发布命令与统一页面入口</t>
        </is>
      </c>
      <c r="D31" s="22" t="inlineStr">
        <is>
          <t>未开始</t>
        </is>
      </c>
      <c r="E31" s="22" t="inlineStr">
        <is>
          <t>待认领</t>
        </is>
      </c>
      <c r="F31" s="4" t="inlineStr">
        <is>
          <t>P01；P06；P24</t>
        </is>
      </c>
      <c r="G31" s="4" t="inlineStr">
        <is>
          <t>P03；P12；P26；P27</t>
        </is>
      </c>
      <c r="H31" s="4" t="inlineStr">
        <is>
          <t>G1/G3/G4</t>
        </is>
      </c>
      <c r="I31" s="84" t="n">
        <v>60</v>
      </c>
      <c r="J31" s="85">
        <f>COUNTIFS('09_执行记录'!$B$6:$B$2022,A31,'09_执行记录'!$A$6:$A$2022,"&lt;&gt;")</f>
        <v/>
      </c>
      <c r="K31" s="86">
        <f>IF(COUNTIFS('09_执行记录'!$B$6:$B$2022,A31,'09_执行记录'!$A$6:$A$2022,"&lt;&gt;",'09_执行记录'!$H$6:$H$2022,"&lt;&gt;")=0,"",SUMIFS('09_执行记录'!$H$6:$H$2022,'09_执行记录'!$B$6:$B$2022,A31,'09_执行记录'!$A$6:$A$2022,"&lt;&gt;"))</f>
        <v/>
      </c>
      <c r="L31" s="86">
        <f>IF(COUNTIFS('09_执行记录'!$B$6:$B$2022,A31,'09_执行记录'!$A$6:$A$2022,"&lt;&gt;",'09_执行记录'!$M$6:$M$2022,"&lt;&gt;")=0,"",SUMIFS('09_执行记录'!$M$6:$M$2022,'09_执行记录'!$B$6:$B$2022,A31,'09_执行记录'!$A$6:$A$2022,"&lt;&gt;"))</f>
        <v/>
      </c>
      <c r="M31" s="22" t="inlineStr">
        <is>
          <t>未核实</t>
        </is>
      </c>
      <c r="N31" s="22" t="inlineStr">
        <is>
          <t>原任务未开始；状态继承原上传快照；当前仓库与运行结果待核实。</t>
        </is>
      </c>
      <c r="O31" s="4" t="inlineStr">
        <is>
          <t>T071、T076</t>
        </is>
      </c>
      <c r="P31" s="4">
        <f>MAX(P7,P12,P30)+1</f>
        <v/>
      </c>
      <c r="Q31" s="22" t="inlineStr">
        <is>
          <t>继承待核实</t>
        </is>
      </c>
      <c r="R31" s="22" t="inlineStr">
        <is>
          <t>待核实</t>
        </is>
      </c>
      <c r="S31" s="22" t="inlineStr">
        <is>
          <t>先修小红书生产允许列表并从网页生成真实命令；Recipe可先用同契约fixture开发，但不能据此记发布成功。</t>
        </is>
      </c>
    </row>
    <row r="32" ht="100" customHeight="1">
      <c r="A32" s="4" t="inlineStr">
        <is>
          <t>P26</t>
        </is>
      </c>
      <c r="B32" s="4" t="inlineStr">
        <is>
          <t>双平台发布</t>
        </is>
      </c>
      <c r="C32" s="4" t="inlineStr">
        <is>
          <t>小红书图文发布与草稿完整流程</t>
        </is>
      </c>
      <c r="D32" s="22" t="inlineStr">
        <is>
          <t>未开始</t>
        </is>
      </c>
      <c r="E32" s="22" t="inlineStr">
        <is>
          <t>待认领</t>
        </is>
      </c>
      <c r="F32" s="4" t="inlineStr">
        <is>
          <t>P07；P13；P17</t>
        </is>
      </c>
      <c r="G32" s="4" t="inlineStr">
        <is>
          <t>P03；P09；P14；P18；P25；P27</t>
        </is>
      </c>
      <c r="H32" s="4" t="inlineStr">
        <is>
          <t>G2/G3/G4</t>
        </is>
      </c>
      <c r="I32" s="84" t="n">
        <v>60</v>
      </c>
      <c r="J32" s="85">
        <f>COUNTIFS('09_执行记录'!$B$6:$B$2022,A32,'09_执行记录'!$A$6:$A$2022,"&lt;&gt;")</f>
        <v/>
      </c>
      <c r="K32" s="86">
        <f>IF(COUNTIFS('09_执行记录'!$B$6:$B$2022,A32,'09_执行记录'!$A$6:$A$2022,"&lt;&gt;",'09_执行记录'!$H$6:$H$2022,"&lt;&gt;")=0,"",SUMIFS('09_执行记录'!$H$6:$H$2022,'09_执行记录'!$B$6:$B$2022,A32,'09_执行记录'!$A$6:$A$2022,"&lt;&gt;"))</f>
        <v/>
      </c>
      <c r="L32" s="86">
        <f>IF(COUNTIFS('09_执行记录'!$B$6:$B$2022,A32,'09_执行记录'!$A$6:$A$2022,"&lt;&gt;",'09_执行记录'!$M$6:$M$2022,"&lt;&gt;")=0,"",SUMIFS('09_执行记录'!$M$6:$M$2022,'09_执行记录'!$B$6:$B$2022,A32,'09_执行记录'!$A$6:$A$2022,"&lt;&gt;"))</f>
        <v/>
      </c>
      <c r="M32" s="22" t="inlineStr">
        <is>
          <t>未核实</t>
        </is>
      </c>
      <c r="N32" s="22" t="inlineStr">
        <is>
          <t>原任务未开始；状态继承原上传快照；当前仓库与运行结果待核实。</t>
        </is>
      </c>
      <c r="O32" s="4" t="inlineStr">
        <is>
          <t>T072、T073、T075</t>
        </is>
      </c>
      <c r="P32" s="4">
        <f>MAX(P13,P19,P23)+1</f>
        <v/>
      </c>
      <c r="Q32" s="22" t="inlineStr">
        <is>
          <t>继承待核实</t>
        </is>
      </c>
      <c r="R32" s="22" t="inlineStr">
        <is>
          <t>待核实</t>
        </is>
      </c>
      <c r="S32" s="22" t="inlineStr">
        <is>
          <t>先做已发布Recipe的图文主路径，再同批验证草稿与一次提交后断网；不等待视频全完才调图文。</t>
        </is>
      </c>
    </row>
    <row r="33" ht="100" customHeight="1">
      <c r="A33" s="4" t="inlineStr">
        <is>
          <t>P27</t>
        </is>
      </c>
      <c r="B33" s="4" t="inlineStr">
        <is>
          <t>双平台发布</t>
        </is>
      </c>
      <c r="C33" s="4" t="inlineStr">
        <is>
          <t>小红书视频笔记、封面与处理等待</t>
        </is>
      </c>
      <c r="D33" s="22" t="inlineStr">
        <is>
          <t>未开始</t>
        </is>
      </c>
      <c r="E33" s="22" t="inlineStr">
        <is>
          <t>待认领</t>
        </is>
      </c>
      <c r="F33" s="4" t="inlineStr">
        <is>
          <t>P26；P17</t>
        </is>
      </c>
      <c r="G33" s="4" t="inlineStr">
        <is>
          <t>P09；P14；P25</t>
        </is>
      </c>
      <c r="H33" s="4" t="inlineStr">
        <is>
          <t>G2/G3/G4</t>
        </is>
      </c>
      <c r="I33" s="84" t="n">
        <v>60</v>
      </c>
      <c r="J33" s="85">
        <f>COUNTIFS('09_执行记录'!$B$6:$B$2022,A33,'09_执行记录'!$A$6:$A$2022,"&lt;&gt;")</f>
        <v/>
      </c>
      <c r="K33" s="86">
        <f>IF(COUNTIFS('09_执行记录'!$B$6:$B$2022,A33,'09_执行记录'!$A$6:$A$2022,"&lt;&gt;",'09_执行记录'!$H$6:$H$2022,"&lt;&gt;")=0,"",SUMIFS('09_执行记录'!$H$6:$H$2022,'09_执行记录'!$B$6:$B$2022,A33,'09_执行记录'!$A$6:$A$2022,"&lt;&gt;"))</f>
        <v/>
      </c>
      <c r="L33" s="86">
        <f>IF(COUNTIFS('09_执行记录'!$B$6:$B$2022,A33,'09_执行记录'!$A$6:$A$2022,"&lt;&gt;",'09_执行记录'!$M$6:$M$2022,"&lt;&gt;")=0,"",SUMIFS('09_执行记录'!$M$6:$M$2022,'09_执行记录'!$B$6:$B$2022,A33,'09_执行记录'!$A$6:$A$2022,"&lt;&gt;"))</f>
        <v/>
      </c>
      <c r="M33" s="22" t="inlineStr">
        <is>
          <t>未核实</t>
        </is>
      </c>
      <c r="N33" s="22" t="inlineStr">
        <is>
          <t>原任务未开始；状态继承原上传快照；当前仓库与运行结果待核实。</t>
        </is>
      </c>
      <c r="O33" s="4" t="inlineStr">
        <is>
          <t>T074</t>
        </is>
      </c>
      <c r="P33" s="4">
        <f>MAX(P32,P23)+1</f>
        <v/>
      </c>
      <c r="Q33" s="22" t="inlineStr">
        <is>
          <t>继承待核实</t>
        </is>
      </c>
      <c r="R33" s="22" t="inlineStr">
        <is>
          <t>待核实</t>
        </is>
      </c>
      <c r="S33" s="22" t="inlineStr">
        <is>
          <t>直接在P26共用Recipe能力上增加VIDEO分支；不要重复建设任务工厂、账号校验或结果上报。</t>
        </is>
      </c>
    </row>
    <row r="34" ht="100" customHeight="1">
      <c r="A34" s="4" t="inlineStr">
        <is>
          <t>P28</t>
        </is>
      </c>
      <c r="B34" s="4" t="inlineStr">
        <is>
          <t>双平台发布</t>
        </is>
      </c>
      <c r="C34" s="4" t="inlineStr">
        <is>
          <t>闲鱼商品发布完整闭环</t>
        </is>
      </c>
      <c r="D34" s="22" t="inlineStr">
        <is>
          <t>验收通过</t>
        </is>
      </c>
      <c r="E34" s="22" t="inlineStr">
        <is>
          <t>待认领</t>
        </is>
      </c>
      <c r="F34" s="4" t="inlineStr">
        <is>
          <t>P21；P07；P17</t>
        </is>
      </c>
      <c r="G34" s="4" t="inlineStr">
        <is>
          <t>P01；P03；P06；P09；P12；P13；P14；P18；P19；P20</t>
        </is>
      </c>
      <c r="H34" s="4" t="inlineStr">
        <is>
          <t>G2/G3/G4</t>
        </is>
      </c>
      <c r="I34" s="84" t="n">
        <v>60</v>
      </c>
      <c r="J34" s="85">
        <f>COUNTIFS('09_执行记录'!$B$6:$B$2022,A34,'09_执行记录'!$A$6:$A$2022,"&lt;&gt;")</f>
        <v/>
      </c>
      <c r="K34" s="86">
        <f>IF(COUNTIFS('09_执行记录'!$B$6:$B$2022,A34,'09_执行记录'!$A$6:$A$2022,"&lt;&gt;",'09_执行记录'!$H$6:$H$2022,"&lt;&gt;")=0,"",SUMIFS('09_执行记录'!$H$6:$H$2022,'09_执行记录'!$B$6:$B$2022,A34,'09_执行记录'!$A$6:$A$2022,"&lt;&gt;"))</f>
        <v/>
      </c>
      <c r="L34" s="86">
        <f>IF(COUNTIFS('09_执行记录'!$B$6:$B$2022,A34,'09_执行记录'!$A$6:$A$2022,"&lt;&gt;",'09_执行记录'!$M$6:$M$2022,"&lt;&gt;")=0,"",SUMIFS('09_执行记录'!$M$6:$M$2022,'09_执行记录'!$B$6:$B$2022,A34,'09_执行记录'!$A$6:$A$2022,"&lt;&gt;"))</f>
        <v/>
      </c>
      <c r="M34" s="22" t="inlineStr">
        <is>
          <t>未核实</t>
        </is>
      </c>
      <c r="N34" s="100" t="inlineStr">
        <is>
          <t>Q03真机验收通过2026-09-16：任务24c923bb(v1.1.1图全12态绿→WAITING_USER确认点)→人工填价9.90+发布→在卖187(+1)「云控平台验收测试服务¥9.9」；证据 artifacts/parallel/W5/Q03/run7-24c923bb/；遗留：PAUSED任务卡队列(问题清单)</t>
        </is>
      </c>
      <c r="O34" s="4" t="inlineStr">
        <is>
          <t>T078、T079、T080、T081</t>
        </is>
      </c>
      <c r="P34" s="4">
        <f>MAX(P27,P13,P23)+1</f>
        <v/>
      </c>
      <c r="Q34" s="22" t="inlineStr">
        <is>
          <t>模块通过</t>
        </is>
      </c>
      <c r="R34" s="22" t="inlineStr">
        <is>
          <t>无</t>
        </is>
      </c>
      <c r="S34" s="22" t="inlineStr">
        <is>
          <t>补齐完整字段+水印+资源池后整包验收；批量发布随维护定位方案解。</t>
        </is>
      </c>
    </row>
    <row r="35" ht="100" customHeight="1">
      <c r="A35" s="4" t="inlineStr">
        <is>
          <t>P29</t>
        </is>
      </c>
      <c r="B35" s="4" t="inlineStr">
        <is>
          <t>闲鱼与采集</t>
        </is>
      </c>
      <c r="C35" s="4" t="inlineStr">
        <is>
          <t>擦亮、上下架与快速下架</t>
        </is>
      </c>
      <c r="D35" s="22" t="inlineStr">
        <is>
          <t>进行中</t>
        </is>
      </c>
      <c r="E35" s="22" t="inlineStr">
        <is>
          <t>待认领</t>
        </is>
      </c>
      <c r="F35" s="4" t="inlineStr">
        <is>
          <t>P01；P07；P13</t>
        </is>
      </c>
      <c r="G35" s="4" t="inlineStr">
        <is>
          <t>P03；P08；P09；P14</t>
        </is>
      </c>
      <c r="H35" s="4" t="inlineStr">
        <is>
          <t>G2/G3/G4</t>
        </is>
      </c>
      <c r="I35" s="84" t="n">
        <v>60</v>
      </c>
      <c r="J35" s="85">
        <f>COUNTIFS('09_执行记录'!$B$6:$B$2022,A35,'09_执行记录'!$A$6:$A$2022,"&lt;&gt;")</f>
        <v/>
      </c>
      <c r="K35" s="86">
        <f>IF(COUNTIFS('09_执行记录'!$B$6:$B$2022,A35,'09_执行记录'!$A$6:$A$2022,"&lt;&gt;",'09_执行记录'!$H$6:$H$2022,"&lt;&gt;")=0,"",SUMIFS('09_执行记录'!$H$6:$H$2022,'09_执行记录'!$B$6:$B$2022,A35,'09_执行记录'!$A$6:$A$2022,"&lt;&gt;"))</f>
        <v/>
      </c>
      <c r="L35" s="86">
        <f>IF(COUNTIFS('09_执行记录'!$B$6:$B$2022,A35,'09_执行记录'!$A$6:$A$2022,"&lt;&gt;",'09_执行记录'!$M$6:$M$2022,"&lt;&gt;")=0,"",SUMIFS('09_执行记录'!$M$6:$M$2022,'09_执行记录'!$B$6:$B$2022,A35,'09_执行记录'!$A$6:$A$2022,"&lt;&gt;"))</f>
        <v/>
      </c>
      <c r="M35" s="22" t="inlineStr">
        <is>
          <t>未核实</t>
        </is>
      </c>
      <c r="N35" s="22" t="inlineStr">
        <is>
          <t>v2标题定位新路径已实现并装机；无意图干跑：导航→标题卡片→详情→管理菜单全通，确认弹窗GATED拦截止零副作用(在卖187不变)；真实下架复验待用户授权</t>
        </is>
      </c>
      <c r="O35" s="4" t="inlineStr">
        <is>
          <t>T082、T083、T084、T101</t>
        </is>
      </c>
      <c r="P35" s="4">
        <f>MAX(P7,P13,P19)+1</f>
        <v/>
      </c>
      <c r="Q35" s="22" t="inlineStr">
        <is>
          <t>模块通过</t>
        </is>
      </c>
      <c r="R35" s="22" t="inlineStr">
        <is>
          <t>批量动作待定位方案</t>
        </is>
      </c>
      <c r="S35" s="22" t="inlineStr">
        <is>
          <t>批量下架随删除稳健定位方案解；titleContains待做；一轮设备会话覆盖多动作复用待验。</t>
        </is>
      </c>
    </row>
    <row r="36" ht="100" customHeight="1">
      <c r="A36" s="4" t="inlineStr">
        <is>
          <t>P30</t>
        </is>
      </c>
      <c r="B36" s="4" t="inlineStr">
        <is>
          <t>闲鱼与采集</t>
        </is>
      </c>
      <c r="C36" s="4" t="inlineStr">
        <is>
          <t>商品、动态与留言安全删除</t>
        </is>
      </c>
      <c r="D36" s="22" t="inlineStr">
        <is>
          <t>进行中</t>
        </is>
      </c>
      <c r="E36" s="22" t="inlineStr">
        <is>
          <t>待认领</t>
        </is>
      </c>
      <c r="F36" s="4" t="inlineStr">
        <is>
          <t>P01；P07；P13</t>
        </is>
      </c>
      <c r="G36" s="4" t="inlineStr">
        <is>
          <t>P03；P08；P09；P14</t>
        </is>
      </c>
      <c r="H36" s="4" t="inlineStr">
        <is>
          <t>G2/G3/G4</t>
        </is>
      </c>
      <c r="I36" s="84" t="n">
        <v>60</v>
      </c>
      <c r="J36" s="85">
        <f>COUNTIFS('09_执行记录'!$B$6:$B$2022,A36,'09_执行记录'!$A$6:$A$2022,"&lt;&gt;")</f>
        <v/>
      </c>
      <c r="K36" s="86">
        <f>IF(COUNTIFS('09_执行记录'!$B$6:$B$2022,A36,'09_执行记录'!$A$6:$A$2022,"&lt;&gt;",'09_执行记录'!$H$6:$H$2022,"&lt;&gt;")=0,"",SUMIFS('09_执行记录'!$H$6:$H$2022,'09_执行记录'!$B$6:$B$2022,A36,'09_执行记录'!$A$6:$A$2022,"&lt;&gt;"))</f>
        <v/>
      </c>
      <c r="L36" s="86">
        <f>IF(COUNTIFS('09_执行记录'!$B$6:$B$2022,A36,'09_执行记录'!$A$6:$A$2022,"&lt;&gt;",'09_执行记录'!$M$6:$M$2022,"&lt;&gt;")=0,"",SUMIFS('09_执行记录'!$M$6:$M$2022,'09_执行记录'!$B$6:$B$2022,A36,'09_执行记录'!$A$6:$A$2022,"&lt;&gt;"))</f>
        <v/>
      </c>
      <c r="M36" s="22" t="inlineStr">
        <is>
          <t>未核实</t>
        </is>
      </c>
      <c r="N36" s="22" t="inlineStr">
        <is>
          <t>v2删除路径同批就绪(已下架tab标题定位)；BADGE_UNREADABLE集成缝已修复(v2降级UNKNOWN→操作员核验)；真实删除复验待用户逐件授权</t>
        </is>
      </c>
      <c r="O36" s="4" t="inlineStr">
        <is>
          <t>T085、T094、T096</t>
        </is>
      </c>
      <c r="P36" s="4">
        <f>MAX(P7,P13,P19)+1</f>
        <v/>
      </c>
      <c r="Q36" s="22" t="inlineStr">
        <is>
          <t>模块通过</t>
        </is>
      </c>
      <c r="R36" s="22" t="inlineStr">
        <is>
          <t>稳健定位未选型</t>
        </is>
      </c>
      <c r="S36" s="22" t="inlineStr">
        <is>
          <t>长期稳健定位三选一（详情页管理入口936,2245已勘察/tabs相对偏移/platformItemId映射）后再放开批量；留言/动态删除未开始。</t>
        </is>
      </c>
    </row>
    <row r="37" ht="100" customHeight="1">
      <c r="A37" s="4" t="inlineStr">
        <is>
          <t>P31</t>
        </is>
      </c>
      <c r="B37" s="4" t="inlineStr">
        <is>
          <t>闲鱼与采集</t>
        </is>
      </c>
      <c r="C37" s="4" t="inlineStr">
        <is>
          <t>签到与鱼币抵扣设置</t>
        </is>
      </c>
      <c r="D37" s="22" t="inlineStr">
        <is>
          <t>未开始</t>
        </is>
      </c>
      <c r="E37" s="22" t="inlineStr">
        <is>
          <t>待认领</t>
        </is>
      </c>
      <c r="F37" s="4" t="inlineStr">
        <is>
          <t>P01；P07；P13</t>
        </is>
      </c>
      <c r="G37" s="4" t="inlineStr">
        <is>
          <t>P03；P09；P14</t>
        </is>
      </c>
      <c r="H37" s="4" t="inlineStr">
        <is>
          <t>G2/G3/G4</t>
        </is>
      </c>
      <c r="I37" s="84" t="n">
        <v>60</v>
      </c>
      <c r="J37" s="85">
        <f>COUNTIFS('09_执行记录'!$B$6:$B$2022,A37,'09_执行记录'!$A$6:$A$2022,"&lt;&gt;")</f>
        <v/>
      </c>
      <c r="K37" s="86">
        <f>IF(COUNTIFS('09_执行记录'!$B$6:$B$2022,A37,'09_执行记录'!$A$6:$A$2022,"&lt;&gt;",'09_执行记录'!$H$6:$H$2022,"&lt;&gt;")=0,"",SUMIFS('09_执行记录'!$H$6:$H$2022,'09_执行记录'!$B$6:$B$2022,A37,'09_执行记录'!$A$6:$A$2022,"&lt;&gt;"))</f>
        <v/>
      </c>
      <c r="L37" s="86">
        <f>IF(COUNTIFS('09_执行记录'!$B$6:$B$2022,A37,'09_执行记录'!$A$6:$A$2022,"&lt;&gt;",'09_执行记录'!$M$6:$M$2022,"&lt;&gt;")=0,"",SUMIFS('09_执行记录'!$M$6:$M$2022,'09_执行记录'!$B$6:$B$2022,A37,'09_执行记录'!$A$6:$A$2022,"&lt;&gt;"))</f>
        <v/>
      </c>
      <c r="M37" s="22" t="inlineStr">
        <is>
          <t>未核实</t>
        </is>
      </c>
      <c r="N37" s="22" t="inlineStr">
        <is>
          <t>原任务未开始；状态继承原上传快照；当前仓库与运行结果待核实。</t>
        </is>
      </c>
      <c r="O37" s="4" t="inlineStr">
        <is>
          <t>T087、T088</t>
        </is>
      </c>
      <c r="P37" s="4">
        <f>MAX(P7,P13,P19)+1</f>
        <v/>
      </c>
      <c r="Q37" s="22" t="inlineStr">
        <is>
          <t>继承待核实</t>
        </is>
      </c>
      <c r="R37" s="22" t="inlineStr">
        <is>
          <t>待核实</t>
        </is>
      </c>
      <c r="S37" s="22" t="inlineStr">
        <is>
          <t>先验证当日签到读回，再验证抵扣设置及只打开模式；不把不同操作合成同一成功计数。</t>
        </is>
      </c>
    </row>
    <row r="38" ht="100" customHeight="1">
      <c r="A38" s="4" t="inlineStr">
        <is>
          <t>P32</t>
        </is>
      </c>
      <c r="B38" s="4" t="inlineStr">
        <is>
          <t>闲鱼与采集</t>
        </is>
      </c>
      <c r="C38" s="4" t="inlineStr">
        <is>
          <t>鱼币推广与预算防重</t>
        </is>
      </c>
      <c r="D38" s="22" t="inlineStr">
        <is>
          <t>未开始</t>
        </is>
      </c>
      <c r="E38" s="22" t="inlineStr">
        <is>
          <t>待认领</t>
        </is>
      </c>
      <c r="F38" s="4" t="inlineStr">
        <is>
          <t>P01；P07；P13</t>
        </is>
      </c>
      <c r="G38" s="4" t="inlineStr">
        <is>
          <t>P03；P09；P14</t>
        </is>
      </c>
      <c r="H38" s="4" t="inlineStr">
        <is>
          <t>G3必须先过</t>
        </is>
      </c>
      <c r="I38" s="84" t="n">
        <v>60</v>
      </c>
      <c r="J38" s="85">
        <f>COUNTIFS('09_执行记录'!$B$6:$B$2022,A38,'09_执行记录'!$A$6:$A$2022,"&lt;&gt;")</f>
        <v/>
      </c>
      <c r="K38" s="86">
        <f>IF(COUNTIFS('09_执行记录'!$B$6:$B$2022,A38,'09_执行记录'!$A$6:$A$2022,"&lt;&gt;",'09_执行记录'!$H$6:$H$2022,"&lt;&gt;")=0,"",SUMIFS('09_执行记录'!$H$6:$H$2022,'09_执行记录'!$B$6:$B$2022,A38,'09_执行记录'!$A$6:$A$2022,"&lt;&gt;"))</f>
        <v/>
      </c>
      <c r="L38" s="86">
        <f>IF(COUNTIFS('09_执行记录'!$B$6:$B$2022,A38,'09_执行记录'!$A$6:$A$2022,"&lt;&gt;",'09_执行记录'!$M$6:$M$2022,"&lt;&gt;")=0,"",SUMIFS('09_执行记录'!$M$6:$M$2022,'09_执行记录'!$B$6:$B$2022,A38,'09_执行记录'!$A$6:$A$2022,"&lt;&gt;"))</f>
        <v/>
      </c>
      <c r="M38" s="22" t="inlineStr">
        <is>
          <t>未核实</t>
        </is>
      </c>
      <c r="N38" s="22" t="inlineStr">
        <is>
          <t>原任务未开始；状态继承原上传快照；当前仓库与运行结果待核实。</t>
        </is>
      </c>
      <c r="O38" s="4" t="inlineStr">
        <is>
          <t>T089</t>
        </is>
      </c>
      <c r="P38" s="4">
        <f>MAX(P7,P13,P19)+1</f>
        <v/>
      </c>
      <c r="Q38" s="22" t="inlineStr">
        <is>
          <t>继承待核实</t>
        </is>
      </c>
      <c r="R38" s="22" t="inlineStr">
        <is>
          <t>待核实</t>
        </is>
      </c>
      <c r="S38" s="22" t="inlineStr">
        <is>
          <t>先验证无提交的预算/套餐检查与变更拒绝，再对明确授权的最小目标执行一次真实推广。</t>
        </is>
      </c>
    </row>
    <row r="39" ht="100" customHeight="1">
      <c r="A39" s="4" t="inlineStr">
        <is>
          <t>P33</t>
        </is>
      </c>
      <c r="B39" s="4" t="inlineStr">
        <is>
          <t>闲鱼与采集</t>
        </is>
      </c>
      <c r="C39" s="4" t="inlineStr">
        <is>
          <t>小刀设置与价格下调</t>
        </is>
      </c>
      <c r="D39" s="22" t="inlineStr">
        <is>
          <t>未开始</t>
        </is>
      </c>
      <c r="E39" s="22" t="inlineStr">
        <is>
          <t>待认领</t>
        </is>
      </c>
      <c r="F39" s="4" t="inlineStr">
        <is>
          <t>P01；P07；P13</t>
        </is>
      </c>
      <c r="G39" s="4" t="inlineStr">
        <is>
          <t>P03；P09；P14；P21</t>
        </is>
      </c>
      <c r="H39" s="4" t="inlineStr">
        <is>
          <t>G2/G3/G4</t>
        </is>
      </c>
      <c r="I39" s="84" t="n">
        <v>60</v>
      </c>
      <c r="J39" s="85">
        <f>COUNTIFS('09_执行记录'!$B$6:$B$2022,A39,'09_执行记录'!$A$6:$A$2022,"&lt;&gt;")</f>
        <v/>
      </c>
      <c r="K39" s="86">
        <f>IF(COUNTIFS('09_执行记录'!$B$6:$B$2022,A39,'09_执行记录'!$A$6:$A$2022,"&lt;&gt;",'09_执行记录'!$H$6:$H$2022,"&lt;&gt;")=0,"",SUMIFS('09_执行记录'!$H$6:$H$2022,'09_执行记录'!$B$6:$B$2022,A39,'09_执行记录'!$A$6:$A$2022,"&lt;&gt;"))</f>
        <v/>
      </c>
      <c r="L39" s="86">
        <f>IF(COUNTIFS('09_执行记录'!$B$6:$B$2022,A39,'09_执行记录'!$A$6:$A$2022,"&lt;&gt;",'09_执行记录'!$M$6:$M$2022,"&lt;&gt;")=0,"",SUMIFS('09_执行记录'!$M$6:$M$2022,'09_执行记录'!$B$6:$B$2022,A39,'09_执行记录'!$A$6:$A$2022,"&lt;&gt;"))</f>
        <v/>
      </c>
      <c r="M39" s="22" t="inlineStr">
        <is>
          <t>未核实</t>
        </is>
      </c>
      <c r="N39" s="22" t="inlineStr">
        <is>
          <t>原任务未开始；状态继承原上传快照；当前仓库与运行结果待核实。</t>
        </is>
      </c>
      <c r="O39" s="4" t="inlineStr">
        <is>
          <t>T090、T091</t>
        </is>
      </c>
      <c r="P39" s="4">
        <f>MAX(P7,P13,P19)+1</f>
        <v/>
      </c>
      <c r="Q39" s="22" t="inlineStr">
        <is>
          <t>继承待核实</t>
        </is>
      </c>
      <c r="R39" s="22" t="inlineStr">
        <is>
          <t>待核实</t>
        </is>
      </c>
      <c r="S39" s="22" t="inlineStr">
        <is>
          <t>先按原field-map核对枚举，分别做一个设置与一个明确降价目标；不把小刀当百分比降价。</t>
        </is>
      </c>
    </row>
    <row r="40" ht="100" customHeight="1">
      <c r="A40" s="4" t="inlineStr">
        <is>
          <t>P34</t>
        </is>
      </c>
      <c r="B40" s="4" t="inlineStr">
        <is>
          <t>闲鱼与采集</t>
        </is>
      </c>
      <c r="C40" s="4" t="inlineStr">
        <is>
          <t>真实订单好评任务</t>
        </is>
      </c>
      <c r="D40" s="22" t="inlineStr">
        <is>
          <t>未开始</t>
        </is>
      </c>
      <c r="E40" s="22" t="inlineStr">
        <is>
          <t>待认领</t>
        </is>
      </c>
      <c r="F40" s="4" t="inlineStr">
        <is>
          <t>P01；P07；P13</t>
        </is>
      </c>
      <c r="G40" s="4" t="inlineStr">
        <is>
          <t>P03；P09；P14</t>
        </is>
      </c>
      <c r="H40" s="4" t="inlineStr">
        <is>
          <t>G2/G3/G4</t>
        </is>
      </c>
      <c r="I40" s="84" t="n">
        <v>60</v>
      </c>
      <c r="J40" s="85">
        <f>COUNTIFS('09_执行记录'!$B$6:$B$2022,A40,'09_执行记录'!$A$6:$A$2022,"&lt;&gt;")</f>
        <v/>
      </c>
      <c r="K40" s="86">
        <f>IF(COUNTIFS('09_执行记录'!$B$6:$B$2022,A40,'09_执行记录'!$A$6:$A$2022,"&lt;&gt;",'09_执行记录'!$H$6:$H$2022,"&lt;&gt;")=0,"",SUMIFS('09_执行记录'!$H$6:$H$2022,'09_执行记录'!$B$6:$B$2022,A40,'09_执行记录'!$A$6:$A$2022,"&lt;&gt;"))</f>
        <v/>
      </c>
      <c r="L40" s="86">
        <f>IF(COUNTIFS('09_执行记录'!$B$6:$B$2022,A40,'09_执行记录'!$A$6:$A$2022,"&lt;&gt;",'09_执行记录'!$M$6:$M$2022,"&lt;&gt;")=0,"",SUMIFS('09_执行记录'!$M$6:$M$2022,'09_执行记录'!$B$6:$B$2022,A40,'09_执行记录'!$A$6:$A$2022,"&lt;&gt;"))</f>
        <v/>
      </c>
      <c r="M40" s="22" t="inlineStr">
        <is>
          <t>未核实</t>
        </is>
      </c>
      <c r="N40" s="22" t="inlineStr">
        <is>
          <t>原任务未开始；状态继承原上传快照；当前仓库与运行结果待核实。</t>
        </is>
      </c>
      <c r="O40" s="4" t="inlineStr">
        <is>
          <t>T092</t>
        </is>
      </c>
      <c r="P40" s="4">
        <f>MAX(P7,P13,P19)+1</f>
        <v/>
      </c>
      <c r="Q40" s="22" t="inlineStr">
        <is>
          <t>继承待核实</t>
        </is>
      </c>
      <c r="R40" s="22" t="inlineStr">
        <is>
          <t>待核实</t>
        </is>
      </c>
      <c r="S40" s="22" t="inlineStr">
        <is>
          <t>准备明确授权且可评价的真实订单；先核验目标范围，再单次评价取证。</t>
        </is>
      </c>
    </row>
    <row r="41" ht="100" customHeight="1">
      <c r="A41" s="4" t="inlineStr">
        <is>
          <t>P35</t>
        </is>
      </c>
      <c r="B41" s="4" t="inlineStr">
        <is>
          <t>闲鱼与采集</t>
        </is>
      </c>
      <c r="C41" s="4" t="inlineStr">
        <is>
          <t>标准权限内重启闲鱼</t>
        </is>
      </c>
      <c r="D41" s="22" t="inlineStr">
        <is>
          <t>未开始</t>
        </is>
      </c>
      <c r="E41" s="22" t="inlineStr">
        <is>
          <t>待认领</t>
        </is>
      </c>
      <c r="F41" s="4" t="inlineStr">
        <is>
          <t>P04；P07</t>
        </is>
      </c>
      <c r="G41" s="4" t="inlineStr">
        <is>
          <t>P01；P03</t>
        </is>
      </c>
      <c r="H41" s="4" t="inlineStr">
        <is>
          <t>G2</t>
        </is>
      </c>
      <c r="I41" s="84" t="n">
        <v>60</v>
      </c>
      <c r="J41" s="85">
        <f>COUNTIFS('09_执行记录'!$B$6:$B$2022,A41,'09_执行记录'!$A$6:$A$2022,"&lt;&gt;")</f>
        <v/>
      </c>
      <c r="K41" s="86">
        <f>IF(COUNTIFS('09_执行记录'!$B$6:$B$2022,A41,'09_执行记录'!$A$6:$A$2022,"&lt;&gt;",'09_执行记录'!$H$6:$H$2022,"&lt;&gt;")=0,"",SUMIFS('09_执行记录'!$H$6:$H$2022,'09_执行记录'!$B$6:$B$2022,A41,'09_执行记录'!$A$6:$A$2022,"&lt;&gt;"))</f>
        <v/>
      </c>
      <c r="L41" s="86">
        <f>IF(COUNTIFS('09_执行记录'!$B$6:$B$2022,A41,'09_执行记录'!$A$6:$A$2022,"&lt;&gt;",'09_执行记录'!$M$6:$M$2022,"&lt;&gt;")=0,"",SUMIFS('09_执行记录'!$M$6:$M$2022,'09_执行记录'!$B$6:$B$2022,A41,'09_执行记录'!$A$6:$A$2022,"&lt;&gt;"))</f>
        <v/>
      </c>
      <c r="M41" s="22" t="inlineStr">
        <is>
          <t>未核实</t>
        </is>
      </c>
      <c r="N41" s="22" t="inlineStr">
        <is>
          <t>原任务未开始；状态继承原上传快照；当前仓库与运行结果待核实。</t>
        </is>
      </c>
      <c r="O41" s="4" t="inlineStr">
        <is>
          <t>T093</t>
        </is>
      </c>
      <c r="P41" s="4">
        <f>MAX(P10,P13)+1</f>
        <v/>
      </c>
      <c r="Q41" s="22" t="inlineStr">
        <is>
          <t>继承待核实</t>
        </is>
      </c>
      <c r="R41" s="22" t="inlineStr">
        <is>
          <t>待核实</t>
        </is>
      </c>
      <c r="S41" s="22" t="inlineStr">
        <is>
          <t>复用已有launchTargetApp兜底，只补任务kind和结果语义；不要重写启动服务。</t>
        </is>
      </c>
    </row>
    <row r="42" ht="100" customHeight="1">
      <c r="A42" s="4" t="inlineStr">
        <is>
          <t>P36</t>
        </is>
      </c>
      <c r="B42" s="4" t="inlineStr">
        <is>
          <t>闲鱼与采集</t>
        </is>
      </c>
      <c r="C42" s="4" t="inlineStr">
        <is>
          <t>消息删除与小红点处理</t>
        </is>
      </c>
      <c r="D42" s="22" t="inlineStr">
        <is>
          <t>未开始</t>
        </is>
      </c>
      <c r="E42" s="22" t="inlineStr">
        <is>
          <t>待认领</t>
        </is>
      </c>
      <c r="F42" s="4" t="inlineStr">
        <is>
          <t>P01；P07；P13</t>
        </is>
      </c>
      <c r="G42" s="4" t="inlineStr">
        <is>
          <t>P03；P09；P14</t>
        </is>
      </c>
      <c r="H42" s="4" t="inlineStr">
        <is>
          <t>删除分支须G3</t>
        </is>
      </c>
      <c r="I42" s="84" t="n">
        <v>60</v>
      </c>
      <c r="J42" s="85">
        <f>COUNTIFS('09_执行记录'!$B$6:$B$2022,A42,'09_执行记录'!$A$6:$A$2022,"&lt;&gt;")</f>
        <v/>
      </c>
      <c r="K42" s="86">
        <f>IF(COUNTIFS('09_执行记录'!$B$6:$B$2022,A42,'09_执行记录'!$A$6:$A$2022,"&lt;&gt;",'09_执行记录'!$H$6:$H$2022,"&lt;&gt;")=0,"",SUMIFS('09_执行记录'!$H$6:$H$2022,'09_执行记录'!$B$6:$B$2022,A42,'09_执行记录'!$A$6:$A$2022,"&lt;&gt;"))</f>
        <v/>
      </c>
      <c r="L42" s="86">
        <f>IF(COUNTIFS('09_执行记录'!$B$6:$B$2022,A42,'09_执行记录'!$A$6:$A$2022,"&lt;&gt;",'09_执行记录'!$M$6:$M$2022,"&lt;&gt;")=0,"",SUMIFS('09_执行记录'!$M$6:$M$2022,'09_执行记录'!$B$6:$B$2022,A42,'09_执行记录'!$A$6:$A$2022,"&lt;&gt;"))</f>
        <v/>
      </c>
      <c r="M42" s="22" t="inlineStr">
        <is>
          <t>未核实</t>
        </is>
      </c>
      <c r="N42" s="22" t="inlineStr">
        <is>
          <t>原任务未开始；状态继承原上传快照；当前仓库与运行结果待核实。</t>
        </is>
      </c>
      <c r="O42" s="4" t="inlineStr">
        <is>
          <t>T095</t>
        </is>
      </c>
      <c r="P42" s="4">
        <f>MAX(P7,P13,P19)+1</f>
        <v/>
      </c>
      <c r="Q42" s="22" t="inlineStr">
        <is>
          <t>继承待核实</t>
        </is>
      </c>
      <c r="R42" s="22" t="inlineStr">
        <is>
          <t>待核实</t>
        </is>
      </c>
      <c r="S42" s="22" t="inlineStr">
        <is>
          <t>先做只读/点红点分支，再用授权测试对话验证删除；不把两分支都映射为delete。</t>
        </is>
      </c>
    </row>
    <row r="43" ht="100" customHeight="1">
      <c r="A43" s="4" t="inlineStr">
        <is>
          <t>P37</t>
        </is>
      </c>
      <c r="B43" s="4" t="inlineStr">
        <is>
          <t>闲鱼与采集</t>
        </is>
      </c>
      <c r="C43" s="4" t="inlineStr">
        <is>
          <t>草稿上架、编辑重发与快速重发</t>
        </is>
      </c>
      <c r="D43" s="22" t="inlineStr">
        <is>
          <t>未开始</t>
        </is>
      </c>
      <c r="E43" s="22" t="inlineStr">
        <is>
          <t>待认领</t>
        </is>
      </c>
      <c r="F43" s="4" t="inlineStr">
        <is>
          <t>P28</t>
        </is>
      </c>
      <c r="G43" s="4" t="inlineStr">
        <is>
          <t>P03；P08；P09；P14</t>
        </is>
      </c>
      <c r="H43" s="4" t="inlineStr">
        <is>
          <t>G2/G3/G4</t>
        </is>
      </c>
      <c r="I43" s="84" t="n">
        <v>60</v>
      </c>
      <c r="J43" s="85">
        <f>COUNTIFS('09_执行记录'!$B$6:$B$2022,A43,'09_执行记录'!$A$6:$A$2022,"&lt;&gt;")</f>
        <v/>
      </c>
      <c r="K43" s="86">
        <f>IF(COUNTIFS('09_执行记录'!$B$6:$B$2022,A43,'09_执行记录'!$A$6:$A$2022,"&lt;&gt;",'09_执行记录'!$H$6:$H$2022,"&lt;&gt;")=0,"",SUMIFS('09_执行记录'!$H$6:$H$2022,'09_执行记录'!$B$6:$B$2022,A43,'09_执行记录'!$A$6:$A$2022,"&lt;&gt;"))</f>
        <v/>
      </c>
      <c r="L43" s="86">
        <f>IF(COUNTIFS('09_执行记录'!$B$6:$B$2022,A43,'09_执行记录'!$A$6:$A$2022,"&lt;&gt;",'09_执行记录'!$M$6:$M$2022,"&lt;&gt;")=0,"",SUMIFS('09_执行记录'!$M$6:$M$2022,'09_执行记录'!$B$6:$B$2022,A43,'09_执行记录'!$A$6:$A$2022,"&lt;&gt;"))</f>
        <v/>
      </c>
      <c r="M43" s="22" t="inlineStr">
        <is>
          <t>未核实</t>
        </is>
      </c>
      <c r="N43" s="22" t="inlineStr">
        <is>
          <t>原任务未开始；状态继承原上传快照；当前仓库与运行结果待核实。</t>
        </is>
      </c>
      <c r="O43" s="4" t="inlineStr">
        <is>
          <t>T097、T098、T100</t>
        </is>
      </c>
      <c r="P43" s="4">
        <f>MAX(P34)+1</f>
        <v/>
      </c>
      <c r="Q43" s="22" t="inlineStr">
        <is>
          <t>继承待核实</t>
        </is>
      </c>
      <c r="R43" s="22" t="inlineStr">
        <is>
          <t>待核实</t>
        </is>
      </c>
      <c r="S43" s="22" t="inlineStr">
        <is>
          <t>基于P28现成发布能力加三个薄适配器；先做单项目标，再用同一批次验证逐项恢复。</t>
        </is>
      </c>
    </row>
    <row r="44" ht="100" customHeight="1">
      <c r="A44" s="4" t="inlineStr">
        <is>
          <t>P38</t>
        </is>
      </c>
      <c r="B44" s="4" t="inlineStr">
        <is>
          <t>闲鱼与采集</t>
        </is>
      </c>
      <c r="C44" s="4" t="inlineStr">
        <is>
          <t>托管无忧卖加入、退出与条款确认</t>
        </is>
      </c>
      <c r="D44" s="22" t="inlineStr">
        <is>
          <t>未开始</t>
        </is>
      </c>
      <c r="E44" s="22" t="inlineStr">
        <is>
          <t>待认领</t>
        </is>
      </c>
      <c r="F44" s="4" t="inlineStr">
        <is>
          <t>P01；P07；P13</t>
        </is>
      </c>
      <c r="G44" s="4" t="inlineStr">
        <is>
          <t>P03；P09；P14</t>
        </is>
      </c>
      <c r="H44" s="4" t="inlineStr">
        <is>
          <t>G3；平台条件不足不可豁免</t>
        </is>
      </c>
      <c r="I44" s="84" t="n">
        <v>60</v>
      </c>
      <c r="J44" s="85">
        <f>COUNTIFS('09_执行记录'!$B$6:$B$2022,A44,'09_执行记录'!$A$6:$A$2022,"&lt;&gt;")</f>
        <v/>
      </c>
      <c r="K44" s="86">
        <f>IF(COUNTIFS('09_执行记录'!$B$6:$B$2022,A44,'09_执行记录'!$A$6:$A$2022,"&lt;&gt;",'09_执行记录'!$H$6:$H$2022,"&lt;&gt;")=0,"",SUMIFS('09_执行记录'!$H$6:$H$2022,'09_执行记录'!$B$6:$B$2022,A44,'09_执行记录'!$A$6:$A$2022,"&lt;&gt;"))</f>
        <v/>
      </c>
      <c r="L44" s="86">
        <f>IF(COUNTIFS('09_执行记录'!$B$6:$B$2022,A44,'09_执行记录'!$A$6:$A$2022,"&lt;&gt;",'09_执行记录'!$M$6:$M$2022,"&lt;&gt;")=0,"",SUMIFS('09_执行记录'!$M$6:$M$2022,'09_执行记录'!$B$6:$B$2022,A44,'09_执行记录'!$A$6:$A$2022,"&lt;&gt;"))</f>
        <v/>
      </c>
      <c r="M44" s="22" t="inlineStr">
        <is>
          <t>未核实</t>
        </is>
      </c>
      <c r="N44" s="22" t="inlineStr">
        <is>
          <t>原任务未开始；状态继承原上传快照；当前仓库与运行结果待核实。</t>
        </is>
      </c>
      <c r="O44" s="4" t="inlineStr">
        <is>
          <t>T099</t>
        </is>
      </c>
      <c r="P44" s="4">
        <f>MAX(P7,P13,P19)+1</f>
        <v/>
      </c>
      <c r="Q44" s="22" t="inlineStr">
        <is>
          <t>继承待核实</t>
        </is>
      </c>
      <c r="R44" s="22" t="inlineStr">
        <is>
          <t>待核实</t>
        </is>
      </c>
      <c r="S44" s="22" t="inlineStr">
        <is>
          <t>先核查真实账号资格和入口，不直接点同意；仅在明确条款确认后进入写操作验证。</t>
        </is>
      </c>
    </row>
    <row r="45" ht="100" customHeight="1">
      <c r="A45" s="4" t="inlineStr">
        <is>
          <t>P39</t>
        </is>
      </c>
      <c r="B45" s="4" t="inlineStr">
        <is>
          <t>闲鱼与采集</t>
        </is>
      </c>
      <c r="C45" s="4" t="inlineStr">
        <is>
          <t>闲鱼发布、删除帖子可用性及实现</t>
        </is>
      </c>
      <c r="D45" s="22" t="inlineStr">
        <is>
          <t>未开始</t>
        </is>
      </c>
      <c r="E45" s="22" t="inlineStr">
        <is>
          <t>待认领</t>
        </is>
      </c>
      <c r="F45" s="4" t="inlineStr">
        <is>
          <t>P04</t>
        </is>
      </c>
      <c r="G45" s="4" t="inlineStr">
        <is>
          <t>P01；P07；P09；P13；P14</t>
        </is>
      </c>
      <c r="H45" s="4" t="inlineStr">
        <is>
          <t>G3/G7；禁止静默删范围</t>
        </is>
      </c>
      <c r="I45" s="84" t="n">
        <v>60</v>
      </c>
      <c r="J45" s="85">
        <f>COUNTIFS('09_执行记录'!$B$6:$B$2022,A45,'09_执行记录'!$A$6:$A$2022,"&lt;&gt;")</f>
        <v/>
      </c>
      <c r="K45" s="86">
        <f>IF(COUNTIFS('09_执行记录'!$B$6:$B$2022,A45,'09_执行记录'!$A$6:$A$2022,"&lt;&gt;",'09_执行记录'!$H$6:$H$2022,"&lt;&gt;")=0,"",SUMIFS('09_执行记录'!$H$6:$H$2022,'09_执行记录'!$B$6:$B$2022,A45,'09_执行记录'!$A$6:$A$2022,"&lt;&gt;"))</f>
        <v/>
      </c>
      <c r="L45" s="86">
        <f>IF(COUNTIFS('09_执行记录'!$B$6:$B$2022,A45,'09_执行记录'!$A$6:$A$2022,"&lt;&gt;",'09_执行记录'!$M$6:$M$2022,"&lt;&gt;")=0,"",SUMIFS('09_执行记录'!$M$6:$M$2022,'09_执行记录'!$B$6:$B$2022,A45,'09_执行记录'!$A$6:$A$2022,"&lt;&gt;"))</f>
        <v/>
      </c>
      <c r="M45" s="22" t="inlineStr">
        <is>
          <t>未核实</t>
        </is>
      </c>
      <c r="N45" s="22" t="inlineStr">
        <is>
          <t>原任务未开始，本次未重跑代码。 审阅B053标已修，但关联任务仍未开始；先核实复用改动。</t>
        </is>
      </c>
      <c r="O45" s="4" t="inlineStr">
        <is>
          <t>T102</t>
        </is>
      </c>
      <c r="P45" s="4">
        <f>MAX(P10)+1</f>
        <v/>
      </c>
      <c r="Q45" s="22" t="inlineStr">
        <is>
          <t>继承待核实</t>
        </is>
      </c>
      <c r="R45" s="22" t="inlineStr">
        <is>
          <t>待核实</t>
        </is>
      </c>
      <c r="S45" s="22" t="inlineStr">
        <is>
          <t>在第一轮设备检查中提前做入口探测；后续实现才依赖命令/Recipe/定位器，避免到最后发现范围不可交付。</t>
        </is>
      </c>
    </row>
    <row r="46" ht="100" customHeight="1">
      <c r="A46" s="4" t="inlineStr">
        <is>
          <t>P40</t>
        </is>
      </c>
      <c r="B46" s="4" t="inlineStr">
        <is>
          <t>设备与底座</t>
        </is>
      </c>
      <c r="C46" s="4" t="inlineStr">
        <is>
          <t>违禁词规则与发布前检查</t>
        </is>
      </c>
      <c r="D46" s="22" t="inlineStr">
        <is>
          <t>未开始</t>
        </is>
      </c>
      <c r="E46" s="22" t="inlineStr">
        <is>
          <t>待认领</t>
        </is>
      </c>
      <c r="F46" s="4" t="inlineStr">
        <is>
          <t>P02</t>
        </is>
      </c>
      <c r="G46" s="4" t="inlineStr">
        <is>
          <t>P21；P24；P25；P28</t>
        </is>
      </c>
      <c r="H46" s="4" t="inlineStr">
        <is>
          <t>G1/G3</t>
        </is>
      </c>
      <c r="I46" s="84" t="n">
        <v>60</v>
      </c>
      <c r="J46" s="85">
        <f>COUNTIFS('09_执行记录'!$B$6:$B$2022,A46,'09_执行记录'!$A$6:$A$2022,"&lt;&gt;")</f>
        <v/>
      </c>
      <c r="K46" s="86">
        <f>IF(COUNTIFS('09_执行记录'!$B$6:$B$2022,A46,'09_执行记录'!$A$6:$A$2022,"&lt;&gt;",'09_执行记录'!$H$6:$H$2022,"&lt;&gt;")=0,"",SUMIFS('09_执行记录'!$H$6:$H$2022,'09_执行记录'!$B$6:$B$2022,A46,'09_执行记录'!$A$6:$A$2022,"&lt;&gt;"))</f>
        <v/>
      </c>
      <c r="L46" s="86">
        <f>IF(COUNTIFS('09_执行记录'!$B$6:$B$2022,A46,'09_执行记录'!$A$6:$A$2022,"&lt;&gt;",'09_执行记录'!$M$6:$M$2022,"&lt;&gt;")=0,"",SUMIFS('09_执行记录'!$M$6:$M$2022,'09_执行记录'!$B$6:$B$2022,A46,'09_执行记录'!$A$6:$A$2022,"&lt;&gt;"))</f>
        <v/>
      </c>
      <c r="M46" s="22" t="inlineStr">
        <is>
          <t>未核实</t>
        </is>
      </c>
      <c r="N46" s="22" t="inlineStr">
        <is>
          <t>原任务未开始；状态继承原上传快照；当前仓库与运行结果待核实。</t>
        </is>
      </c>
      <c r="O46" s="4" t="inlineStr">
        <is>
          <t>T103</t>
        </is>
      </c>
      <c r="P46" s="4">
        <f>MAX(P8)+1</f>
        <v/>
      </c>
      <c r="Q46" s="22" t="inlineStr">
        <is>
          <t>继承待核实</t>
        </is>
      </c>
      <c r="R46" s="22" t="inlineStr">
        <is>
          <t>待核实</t>
        </is>
      </c>
      <c r="S46" s="22" t="inlineStr">
        <is>
          <t>先提供检测DTO和服务，再接现有编辑入口；保留用户原始文案，不静默篡改。</t>
        </is>
      </c>
    </row>
    <row r="47" ht="100" customHeight="1">
      <c r="A47" s="4" t="inlineStr">
        <is>
          <t>P41</t>
        </is>
      </c>
      <c r="B47" s="4" t="inlineStr">
        <is>
          <t>闲鱼与采集</t>
        </is>
      </c>
      <c r="C47" s="4" t="inlineStr">
        <is>
          <t>订单模型、同步命令与查询页面</t>
        </is>
      </c>
      <c r="D47" s="22" t="inlineStr">
        <is>
          <t>验收通过</t>
        </is>
      </c>
      <c r="E47" s="22" t="inlineStr">
        <is>
          <t>W0总控+W1/W3子代理(GLM)</t>
        </is>
      </c>
      <c r="F47" s="4" t="inlineStr">
        <is>
          <t>P03；P01</t>
        </is>
      </c>
      <c r="G47" s="4" t="inlineStr">
        <is>
          <t>P05；P06；P22；P42</t>
        </is>
      </c>
      <c r="H47" s="4" t="inlineStr">
        <is>
          <t>G1/G6</t>
        </is>
      </c>
      <c r="I47" s="84" t="n">
        <v>60</v>
      </c>
      <c r="J47" s="85">
        <f>COUNTIFS('09_执行记录'!$B$6:$B$2022,A47,'09_执行记录'!$A$6:$A$2022,"&lt;&gt;")</f>
        <v/>
      </c>
      <c r="K47" s="86">
        <f>IF(COUNTIFS('09_执行记录'!$B$6:$B$2022,A47,'09_执行记录'!$A$6:$A$2022,"&lt;&gt;",'09_执行记录'!$H$6:$H$2022,"&lt;&gt;")=0,"",SUMIFS('09_执行记录'!$H$6:$H$2022,'09_执行记录'!$B$6:$B$2022,A47,'09_执行记录'!$A$6:$A$2022,"&lt;&gt;"))</f>
        <v/>
      </c>
      <c r="L47" s="86">
        <f>IF(COUNTIFS('09_执行记录'!$B$6:$B$2022,A47,'09_执行记录'!$A$6:$A$2022,"&lt;&gt;",'09_执行记录'!$M$6:$M$2022,"&lt;&gt;")=0,"",SUMIFS('09_执行记录'!$M$6:$M$2022,'09_执行记录'!$B$6:$B$2022,A47,'09_执行记录'!$A$6:$A$2022,"&lt;&gt;"))</f>
        <v/>
      </c>
      <c r="M47" s="22" t="inlineStr">
        <is>
          <t>已核实（首尔生产orders-7adc827运行中）</t>
        </is>
      </c>
      <c r="N47" s="22" t="inlineStr">
        <is>
          <t>slice1真机验收：SOLD/BOUGHT双方向SUCCEEDED、6真实订单入库PG、幂等重放200、查询API 200；证据 artifacts/tasks/P41-P42-orders/orders-slice1-20260915/w0-acceptance/report.md</t>
        </is>
      </c>
      <c r="O47" s="4" t="inlineStr">
        <is>
          <t>T105、T106、T108</t>
        </is>
      </c>
      <c r="P47" s="4">
        <f>MAX(P9,P7)+1</f>
        <v/>
      </c>
      <c r="Q47" s="22" t="inlineStr">
        <is>
          <t>模块通过</t>
        </is>
      </c>
      <c r="R47" s="22" t="inlineStr">
        <is>
          <t>无（slice1范围）</t>
        </is>
      </c>
      <c r="S47" s="22" t="inlineStr">
        <is>
          <t>订单slice2：详情页真实订单号升级order_key、occurred_at、分页断点续传</t>
        </is>
      </c>
    </row>
    <row r="48" ht="100" customHeight="1">
      <c r="A48" s="4" t="inlineStr">
        <is>
          <t>P42</t>
        </is>
      </c>
      <c r="B48" s="4" t="inlineStr">
        <is>
          <t>闲鱼与采集</t>
        </is>
      </c>
      <c r="C48" s="4" t="inlineStr">
        <is>
          <t>订单真机采集与断点续传</t>
        </is>
      </c>
      <c r="D48" s="22" t="inlineStr">
        <is>
          <t>进行中</t>
        </is>
      </c>
      <c r="E48" s="22" t="inlineStr">
        <is>
          <t>W0总控+W2子代理(GLM)</t>
        </is>
      </c>
      <c r="F48" s="4" t="inlineStr">
        <is>
          <t>P41；P07；P13</t>
        </is>
      </c>
      <c r="G48" s="4" t="inlineStr">
        <is>
          <t>P03；P06；P08；P14</t>
        </is>
      </c>
      <c r="H48" s="4" t="inlineStr">
        <is>
          <t>G2/G4/G6</t>
        </is>
      </c>
      <c r="I48" s="84" t="n">
        <v>60</v>
      </c>
      <c r="J48" s="85">
        <f>COUNTIFS('09_执行记录'!$B$6:$B$2022,A48,'09_执行记录'!$A$6:$A$2022,"&lt;&gt;")</f>
        <v/>
      </c>
      <c r="K48" s="86">
        <f>IF(COUNTIFS('09_执行记录'!$B$6:$B$2022,A48,'09_执行记录'!$A$6:$A$2022,"&lt;&gt;",'09_执行记录'!$H$6:$H$2022,"&lt;&gt;")=0,"",SUMIFS('09_执行记录'!$H$6:$H$2022,'09_执行记录'!$B$6:$B$2022,A48,'09_执行记录'!$A$6:$A$2022,"&lt;&gt;"))</f>
        <v/>
      </c>
      <c r="L48" s="86">
        <f>IF(COUNTIFS('09_执行记录'!$B$6:$B$2022,A48,'09_执行记录'!$A$6:$A$2022,"&lt;&gt;",'09_执行记录'!$M$6:$M$2022,"&lt;&gt;")=0,"",SUMIFS('09_执行记录'!$M$6:$M$2022,'09_执行记录'!$B$6:$B$2022,A48,'09_执行记录'!$A$6:$A$2022,"&lt;&gt;"))</f>
        <v/>
      </c>
      <c r="M48" s="22" t="inlineStr">
        <is>
          <t>已核实（b0644fb5采集链路活跃）</t>
        </is>
      </c>
      <c r="N48" s="22" t="inlineStr">
        <is>
          <t>slice2 后端(screens/v2形状)+Web采集入口已合入并部署首尔；Android v2执行器(swipeUp步骤+跨屏去重)未做=下一切片；slice1采集已真机验收</t>
        </is>
      </c>
      <c r="O48" s="4" t="inlineStr">
        <is>
          <t>T107</t>
        </is>
      </c>
      <c r="P48" s="4">
        <f>MAX(P47,P13,P19)+1</f>
        <v/>
      </c>
      <c r="Q48" s="22" t="inlineStr">
        <is>
          <t>模块通过（采集slice1）</t>
        </is>
      </c>
      <c r="R48" s="22" t="inlineStr">
        <is>
          <t>断点续传/分页属slice2范围</t>
        </is>
      </c>
      <c r="S48" s="22" t="inlineStr">
        <is>
          <t>下一切片：Android v2执行器→多屏真机验收（采两页小样本贯通+断网续传）</t>
        </is>
      </c>
    </row>
    <row r="49" ht="100" customHeight="1">
      <c r="A49" s="4" t="inlineStr">
        <is>
          <t>P43</t>
        </is>
      </c>
      <c r="B49" s="4" t="inlineStr">
        <is>
          <t>闲鱼与采集</t>
        </is>
      </c>
      <c r="C49" s="4" t="inlineStr">
        <is>
          <t>宝贝身份、历史快照与采集页面</t>
        </is>
      </c>
      <c r="D49" s="22" t="inlineStr">
        <is>
          <t>未开始</t>
        </is>
      </c>
      <c r="E49" s="22" t="inlineStr">
        <is>
          <t>待认领</t>
        </is>
      </c>
      <c r="F49" s="4" t="inlineStr">
        <is>
          <t>P03；P01</t>
        </is>
      </c>
      <c r="G49" s="4" t="inlineStr">
        <is>
          <t>P05；P06；P44</t>
        </is>
      </c>
      <c r="H49" s="4" t="inlineStr">
        <is>
          <t>G1/G6</t>
        </is>
      </c>
      <c r="I49" s="84" t="n">
        <v>60</v>
      </c>
      <c r="J49" s="85">
        <f>COUNTIFS('09_执行记录'!$B$6:$B$2022,A49,'09_执行记录'!$A$6:$A$2022,"&lt;&gt;")</f>
        <v/>
      </c>
      <c r="K49" s="86">
        <f>IF(COUNTIFS('09_执行记录'!$B$6:$B$2022,A49,'09_执行记录'!$A$6:$A$2022,"&lt;&gt;",'09_执行记录'!$H$6:$H$2022,"&lt;&gt;")=0,"",SUMIFS('09_执行记录'!$H$6:$H$2022,'09_执行记录'!$B$6:$B$2022,A49,'09_执行记录'!$A$6:$A$2022,"&lt;&gt;"))</f>
        <v/>
      </c>
      <c r="L49" s="86">
        <f>IF(COUNTIFS('09_执行记录'!$B$6:$B$2022,A49,'09_执行记录'!$A$6:$A$2022,"&lt;&gt;",'09_执行记录'!$M$6:$M$2022,"&lt;&gt;")=0,"",SUMIFS('09_执行记录'!$M$6:$M$2022,'09_执行记录'!$B$6:$B$2022,A49,'09_执行记录'!$A$6:$A$2022,"&lt;&gt;"))</f>
        <v/>
      </c>
      <c r="M49" s="22" t="inlineStr">
        <is>
          <t>未核实</t>
        </is>
      </c>
      <c r="N49" s="22" t="inlineStr">
        <is>
          <t>原任务未开始；状态继承原上传快照；当前仓库与运行结果待核实。</t>
        </is>
      </c>
      <c r="O49" s="4" t="inlineStr">
        <is>
          <t>T109、T110、T112</t>
        </is>
      </c>
      <c r="P49" s="4">
        <f>MAX(P9,P7)+1</f>
        <v/>
      </c>
      <c r="Q49" s="22" t="inlineStr">
        <is>
          <t>继承待核实</t>
        </is>
      </c>
      <c r="R49" s="22" t="inlineStr">
        <is>
          <t>待核实</t>
        </is>
      </c>
      <c r="S49" s="22" t="inlineStr">
        <is>
          <t>先落MetricValue及批次契约，页面用结构化fixture开发；真实值由P44接入后才能验收。</t>
        </is>
      </c>
    </row>
    <row r="50" ht="100" customHeight="1">
      <c r="A50" s="4" t="inlineStr">
        <is>
          <t>P44</t>
        </is>
      </c>
      <c r="B50" s="4" t="inlineStr">
        <is>
          <t>闲鱼与采集</t>
        </is>
      </c>
      <c r="C50" s="4" t="inlineStr">
        <is>
          <t>宝贝信息真实采集与恢复</t>
        </is>
      </c>
      <c r="D50" s="22" t="inlineStr">
        <is>
          <t>未开始</t>
        </is>
      </c>
      <c r="E50" s="22" t="inlineStr">
        <is>
          <t>待认领</t>
        </is>
      </c>
      <c r="F50" s="4" t="inlineStr">
        <is>
          <t>P43；P07；P13</t>
        </is>
      </c>
      <c r="G50" s="4" t="inlineStr">
        <is>
          <t>P03；P06；P08；P14</t>
        </is>
      </c>
      <c r="H50" s="4" t="inlineStr">
        <is>
          <t>G2/G4/G6</t>
        </is>
      </c>
      <c r="I50" s="84" t="n">
        <v>60</v>
      </c>
      <c r="J50" s="85">
        <f>COUNTIFS('09_执行记录'!$B$6:$B$2022,A50,'09_执行记录'!$A$6:$A$2022,"&lt;&gt;")</f>
        <v/>
      </c>
      <c r="K50" s="86">
        <f>IF(COUNTIFS('09_执行记录'!$B$6:$B$2022,A50,'09_执行记录'!$A$6:$A$2022,"&lt;&gt;",'09_执行记录'!$H$6:$H$2022,"&lt;&gt;")=0,"",SUMIFS('09_执行记录'!$H$6:$H$2022,'09_执行记录'!$B$6:$B$2022,A50,'09_执行记录'!$A$6:$A$2022,"&lt;&gt;"))</f>
        <v/>
      </c>
      <c r="L50" s="86">
        <f>IF(COUNTIFS('09_执行记录'!$B$6:$B$2022,A50,'09_执行记录'!$A$6:$A$2022,"&lt;&gt;",'09_执行记录'!$M$6:$M$2022,"&lt;&gt;")=0,"",SUMIFS('09_执行记录'!$M$6:$M$2022,'09_执行记录'!$B$6:$B$2022,A50,'09_执行记录'!$A$6:$A$2022,"&lt;&gt;"))</f>
        <v/>
      </c>
      <c r="M50" s="22" t="inlineStr">
        <is>
          <t>未核实</t>
        </is>
      </c>
      <c r="N50" s="22" t="inlineStr">
        <is>
          <t>原任务未开始；状态继承原上传快照；当前仓库与运行结果待核实。</t>
        </is>
      </c>
      <c r="O50" s="4" t="inlineStr">
        <is>
          <t>T111</t>
        </is>
      </c>
      <c r="P50" s="4">
        <f>MAX(P49,P13,P19)+1</f>
        <v/>
      </c>
      <c r="Q50" s="22" t="inlineStr">
        <is>
          <t>继承待核实</t>
        </is>
      </c>
      <c r="R50" s="22" t="inlineStr">
        <is>
          <t>待核实</t>
        </is>
      </c>
      <c r="S50" s="22" t="inlineStr">
        <is>
          <t>先采一条完整详情与两页列表；与P42共享上传原语但不混用字段解析。</t>
        </is>
      </c>
    </row>
    <row r="51" ht="100" customHeight="1">
      <c r="A51" s="4" t="inlineStr">
        <is>
          <t>P45</t>
        </is>
      </c>
      <c r="B51" s="4" t="inlineStr">
        <is>
          <t>交付收口</t>
        </is>
      </c>
      <c r="C51" s="4" t="inlineStr">
        <is>
          <t>长期保存与用户显式删除</t>
        </is>
      </c>
      <c r="D51" s="22" t="inlineStr">
        <is>
          <t>未开始</t>
        </is>
      </c>
      <c r="E51" s="22" t="inlineStr">
        <is>
          <t>待认领</t>
        </is>
      </c>
      <c r="F51" s="4" t="inlineStr">
        <is>
          <t>P16；P03</t>
        </is>
      </c>
      <c r="G51" s="4" t="inlineStr">
        <is>
          <t>P18；P21；P24；P41；P43</t>
        </is>
      </c>
      <c r="H51" s="4" t="inlineStr">
        <is>
          <t>G6</t>
        </is>
      </c>
      <c r="I51" s="84" t="n">
        <v>60</v>
      </c>
      <c r="J51" s="85">
        <f>COUNTIFS('09_执行记录'!$B$6:$B$2022,A51,'09_执行记录'!$A$6:$A$2022,"&lt;&gt;")</f>
        <v/>
      </c>
      <c r="K51" s="86">
        <f>IF(COUNTIFS('09_执行记录'!$B$6:$B$2022,A51,'09_执行记录'!$A$6:$A$2022,"&lt;&gt;",'09_执行记录'!$H$6:$H$2022,"&lt;&gt;")=0,"",SUMIFS('09_执行记录'!$H$6:$H$2022,'09_执行记录'!$B$6:$B$2022,A51,'09_执行记录'!$A$6:$A$2022,"&lt;&gt;"))</f>
        <v/>
      </c>
      <c r="L51" s="86">
        <f>IF(COUNTIFS('09_执行记录'!$B$6:$B$2022,A51,'09_执行记录'!$A$6:$A$2022,"&lt;&gt;",'09_执行记录'!$M$6:$M$2022,"&lt;&gt;")=0,"",SUMIFS('09_执行记录'!$M$6:$M$2022,'09_执行记录'!$B$6:$B$2022,A51,'09_执行记录'!$A$6:$A$2022,"&lt;&gt;"))</f>
        <v/>
      </c>
      <c r="M51" s="22" t="inlineStr">
        <is>
          <t>未核实</t>
        </is>
      </c>
      <c r="N51" s="22" t="inlineStr">
        <is>
          <t>原任务未开始；状态继承原上传快照；当前仓库与运行结果待核实。</t>
        </is>
      </c>
      <c r="O51" s="4" t="inlineStr">
        <is>
          <t>T113</t>
        </is>
      </c>
      <c r="P51" s="4">
        <f>MAX(P22,P9)+1</f>
        <v/>
      </c>
      <c r="Q51" s="22" t="inlineStr">
        <is>
          <t>继承待核实</t>
        </is>
      </c>
      <c r="R51" s="22" t="inlineStr">
        <is>
          <t>待核实</t>
        </is>
      </c>
      <c r="S51" s="22" t="inlineStr">
        <is>
          <t>先检查已有保留/清理任务和引用计数，再把各数据域接入统一删除策略；不另造并行资产库。</t>
        </is>
      </c>
    </row>
    <row r="52" ht="100" customHeight="1">
      <c r="A52" s="4" t="inlineStr">
        <is>
          <t>P46</t>
        </is>
      </c>
      <c r="B52" s="4" t="inlineStr">
        <is>
          <t>交付收口</t>
        </is>
      </c>
      <c r="C52" s="4" t="inlineStr">
        <is>
          <t>权限、并发与恢复故障回归</t>
        </is>
      </c>
      <c r="D52" s="22" t="inlineStr">
        <is>
          <t>未开始</t>
        </is>
      </c>
      <c r="E52" s="22" t="inlineStr">
        <is>
          <t>待认领</t>
        </is>
      </c>
      <c r="F52" s="4" t="inlineStr">
        <is>
          <t>P02；P08；P09</t>
        </is>
      </c>
      <c r="G52" s="4" t="inlineStr">
        <is>
          <t>P03；P06；P11；P14；P15；P17；P42；P44；P45</t>
        </is>
      </c>
      <c r="H52" s="4" t="inlineStr">
        <is>
          <t>G1/G2/G3/G4/G6</t>
        </is>
      </c>
      <c r="I52" s="84" t="n">
        <v>60</v>
      </c>
      <c r="J52" s="85">
        <f>COUNTIFS('09_执行记录'!$B$6:$B$2022,A52,'09_执行记录'!$A$6:$A$2022,"&lt;&gt;")</f>
        <v/>
      </c>
      <c r="K52" s="86">
        <f>IF(COUNTIFS('09_执行记录'!$B$6:$B$2022,A52,'09_执行记录'!$A$6:$A$2022,"&lt;&gt;",'09_执行记录'!$H$6:$H$2022,"&lt;&gt;")=0,"",SUMIFS('09_执行记录'!$H$6:$H$2022,'09_执行记录'!$B$6:$B$2022,A52,'09_执行记录'!$A$6:$A$2022,"&lt;&gt;"))</f>
        <v/>
      </c>
      <c r="L52" s="86">
        <f>IF(COUNTIFS('09_执行记录'!$B$6:$B$2022,A52,'09_执行记录'!$A$6:$A$2022,"&lt;&gt;",'09_执行记录'!$M$6:$M$2022,"&lt;&gt;")=0,"",SUMIFS('09_执行记录'!$M$6:$M$2022,'09_执行记录'!$B$6:$B$2022,A52,'09_执行记录'!$A$6:$A$2022,"&lt;&gt;"))</f>
        <v/>
      </c>
      <c r="M52" s="22" t="inlineStr">
        <is>
          <t>未核实</t>
        </is>
      </c>
      <c r="N52" s="22" t="inlineStr">
        <is>
          <t>原任务未开始；状态继承原上传快照；当前仓库与运行结果待核实。</t>
        </is>
      </c>
      <c r="O52" s="4" t="inlineStr">
        <is>
          <t>T114、T115</t>
        </is>
      </c>
      <c r="P52" s="4">
        <f>MAX(P8,P14,P15)+1</f>
        <v/>
      </c>
      <c r="Q52" s="22" t="inlineStr">
        <is>
          <t>继承待核实</t>
        </is>
      </c>
      <c r="R52" s="22" t="inlineStr">
        <is>
          <t>待核实</t>
        </is>
      </c>
      <c r="S52" s="22" t="inlineStr">
        <is>
          <t>启动时建立最小故障矩阵；每包补相关测试，最后仅跑跨域故障组合。</t>
        </is>
      </c>
    </row>
    <row r="53" ht="100" customHeight="1">
      <c r="A53" s="4" t="inlineStr">
        <is>
          <t>P47</t>
        </is>
      </c>
      <c r="B53" s="4" t="inlineStr">
        <is>
          <t>交付收口</t>
        </is>
      </c>
      <c r="C53" s="4" t="inlineStr">
        <is>
          <t>10台真机与100模拟容量验证</t>
        </is>
      </c>
      <c r="D53" s="22" t="inlineStr">
        <is>
          <t>未开始</t>
        </is>
      </c>
      <c r="E53" s="22" t="inlineStr">
        <is>
          <t>待认领</t>
        </is>
      </c>
      <c r="F53" s="4" t="inlineStr">
        <is>
          <t>P05；P10；P17</t>
        </is>
      </c>
      <c r="G53" s="4" t="inlineStr">
        <is>
          <t>P12；P42；P44；P48</t>
        </is>
      </c>
      <c r="H53" s="4" t="inlineStr">
        <is>
          <t>G5/G7</t>
        </is>
      </c>
      <c r="I53" s="84" t="n">
        <v>60</v>
      </c>
      <c r="J53" s="85">
        <f>COUNTIFS('09_执行记录'!$B$6:$B$2022,A53,'09_执行记录'!$A$6:$A$2022,"&lt;&gt;")</f>
        <v/>
      </c>
      <c r="K53" s="86">
        <f>IF(COUNTIFS('09_执行记录'!$B$6:$B$2022,A53,'09_执行记录'!$A$6:$A$2022,"&lt;&gt;",'09_执行记录'!$H$6:$H$2022,"&lt;&gt;")=0,"",SUMIFS('09_执行记录'!$H$6:$H$2022,'09_执行记录'!$B$6:$B$2022,A53,'09_执行记录'!$A$6:$A$2022,"&lt;&gt;"))</f>
        <v/>
      </c>
      <c r="L53" s="86">
        <f>IF(COUNTIFS('09_执行记录'!$B$6:$B$2022,A53,'09_执行记录'!$A$6:$A$2022,"&lt;&gt;",'09_执行记录'!$M$6:$M$2022,"&lt;&gt;")=0,"",SUMIFS('09_执行记录'!$M$6:$M$2022,'09_执行记录'!$B$6:$B$2022,A53,'09_执行记录'!$A$6:$A$2022,"&lt;&gt;"))</f>
        <v/>
      </c>
      <c r="M53" s="22" t="inlineStr">
        <is>
          <t>未核实</t>
        </is>
      </c>
      <c r="N53" s="22" t="inlineStr">
        <is>
          <t>10台真机与100模拟容量验证改为后期扩展，不作为当前单机验收阻塞，也不得标已通过或从原范围删除。当前不启动本包。</t>
        </is>
      </c>
      <c r="O53" s="4" t="inlineStr">
        <is>
          <t>T116</t>
        </is>
      </c>
      <c r="P53" s="4">
        <f>MAX(P11,P16,P23)+1</f>
        <v/>
      </c>
      <c r="Q53" s="22" t="inlineStr">
        <is>
          <t>继承待核实</t>
        </is>
      </c>
      <c r="R53" s="22" t="inlineStr">
        <is>
          <t>待核实</t>
        </is>
      </c>
      <c r="S53" s="22" t="inlineStr">
        <is>
          <t>单机主链路通过后再启动；资源确认与容量批次推迟。推迟≠已通过。</t>
        </is>
      </c>
    </row>
    <row r="54" ht="100" customHeight="1">
      <c r="A54" s="4" t="inlineStr">
        <is>
          <t>P48</t>
        </is>
      </c>
      <c r="B54" s="4" t="inlineStr">
        <is>
          <t>设备与底座</t>
        </is>
      </c>
      <c r="C54" s="4" t="inlineStr">
        <is>
          <t>诊断、公网部署与升级恢复</t>
        </is>
      </c>
      <c r="D54" s="22" t="inlineStr">
        <is>
          <t>未开始</t>
        </is>
      </c>
      <c r="E54" s="22" t="inlineStr">
        <is>
          <t>待认领</t>
        </is>
      </c>
      <c r="F54" s="4" t="inlineStr">
        <is>
          <t>P02</t>
        </is>
      </c>
      <c r="G54" s="4" t="inlineStr">
        <is>
          <t>P05；P10；P14；P45；P46</t>
        </is>
      </c>
      <c r="H54" s="4" t="inlineStr">
        <is>
          <t>G1/G5/G6</t>
        </is>
      </c>
      <c r="I54" s="84" t="n">
        <v>60</v>
      </c>
      <c r="J54" s="85">
        <f>COUNTIFS('09_执行记录'!$B$6:$B$2022,A54,'09_执行记录'!$A$6:$A$2022,"&lt;&gt;")</f>
        <v/>
      </c>
      <c r="K54" s="86">
        <f>IF(COUNTIFS('09_执行记录'!$B$6:$B$2022,A54,'09_执行记录'!$A$6:$A$2022,"&lt;&gt;",'09_执行记录'!$H$6:$H$2022,"&lt;&gt;")=0,"",SUMIFS('09_执行记录'!$H$6:$H$2022,'09_执行记录'!$B$6:$B$2022,A54,'09_执行记录'!$A$6:$A$2022,"&lt;&gt;"))</f>
        <v/>
      </c>
      <c r="L54" s="86">
        <f>IF(COUNTIFS('09_执行记录'!$B$6:$B$2022,A54,'09_执行记录'!$A$6:$A$2022,"&lt;&gt;",'09_执行记录'!$M$6:$M$2022,"&lt;&gt;")=0,"",SUMIFS('09_执行记录'!$M$6:$M$2022,'09_执行记录'!$B$6:$B$2022,A54,'09_执行记录'!$A$6:$A$2022,"&lt;&gt;"))</f>
        <v/>
      </c>
      <c r="M54" s="22" t="inlineStr">
        <is>
          <t>未核实</t>
        </is>
      </c>
      <c r="N54" s="22" t="inlineStr">
        <is>
          <t>原任务未开始；状态继承原上传快照；当前仓库与运行结果待核实。</t>
        </is>
      </c>
      <c r="O54" s="4" t="inlineStr">
        <is>
          <t>T118、T119</t>
        </is>
      </c>
      <c r="P54" s="4">
        <f>MAX(P8)+1</f>
        <v/>
      </c>
      <c r="Q54" s="22" t="inlineStr">
        <is>
          <t>继承待核实</t>
        </is>
      </c>
      <c r="R54" s="22" t="inlineStr">
        <is>
          <t>待核实</t>
        </is>
      </c>
      <c r="S54" s="22" t="inlineStr">
        <is>
          <t>与首轮主链路同时确认现有环境；先交公网/TURN最小环境，不等权限全矩阵与全部业务验收完成。</t>
        </is>
      </c>
    </row>
    <row r="55" ht="100" customHeight="1">
      <c r="A55" s="4" t="inlineStr">
        <is>
          <t>P49</t>
        </is>
      </c>
      <c r="B55" s="4" t="inlineStr">
        <is>
          <t>交付收口</t>
        </is>
      </c>
      <c r="C55" s="4" t="inlineStr">
        <is>
          <t>Note9认证、31目录与一期交接</t>
        </is>
      </c>
      <c r="D55" s="22" t="inlineStr">
        <is>
          <t>未开始</t>
        </is>
      </c>
      <c r="E55" s="22" t="inlineStr">
        <is>
          <t>待认领</t>
        </is>
      </c>
      <c r="F55" s="4" t="inlineStr">
        <is>
          <t>无新增包前置</t>
        </is>
      </c>
      <c r="G55" s="4" t="inlineStr">
        <is>
          <t>全部一期包最终证据</t>
        </is>
      </c>
      <c r="H55" s="4" t="inlineStr">
        <is>
          <t>G7/G8（最终交付）</t>
        </is>
      </c>
      <c r="I55" s="84" t="n">
        <v>60</v>
      </c>
      <c r="J55" s="85">
        <f>COUNTIFS('09_执行记录'!$B$6:$B$2022,A55,'09_执行记录'!$A$6:$A$2022,"&lt;&gt;")</f>
        <v/>
      </c>
      <c r="K55" s="86">
        <f>IF(COUNTIFS('09_执行记录'!$B$6:$B$2022,A55,'09_执行记录'!$A$6:$A$2022,"&lt;&gt;",'09_执行记录'!$H$6:$H$2022,"&lt;&gt;")=0,"",SUMIFS('09_执行记录'!$H$6:$H$2022,'09_执行记录'!$B$6:$B$2022,A55,'09_执行记录'!$A$6:$A$2022,"&lt;&gt;"))</f>
        <v/>
      </c>
      <c r="L55" s="86">
        <f>IF(COUNTIFS('09_执行记录'!$B$6:$B$2022,A55,'09_执行记录'!$A$6:$A$2022,"&lt;&gt;",'09_执行记录'!$M$6:$M$2022,"&lt;&gt;")=0,"",SUMIFS('09_执行记录'!$M$6:$M$2022,'09_执行记录'!$B$6:$B$2022,A55,'09_执行记录'!$A$6:$A$2022,"&lt;&gt;"))</f>
        <v/>
      </c>
      <c r="M55" s="22" t="inlineStr">
        <is>
          <t>未核实</t>
        </is>
      </c>
      <c r="N55" s="22" t="inlineStr">
        <is>
          <t>Note9认证与10台真机改为后期扩展；当前只做 OnePlus 9R 单机分阶段证据，不得冒充 Note9/多机验收。31目录与一期交接仍保留，平台缺口保持阻塞。</t>
        </is>
      </c>
      <c r="O55" s="4" t="inlineStr">
        <is>
          <t>T104、T117、T120</t>
        </is>
      </c>
      <c r="P55" s="4">
        <f>1</f>
        <v/>
      </c>
      <c r="Q55" s="22" t="inlineStr">
        <is>
          <t>继承待核实</t>
        </is>
      </c>
      <c r="R55" s="22" t="inlineStr">
        <is>
          <t>待核实</t>
        </is>
      </c>
      <c r="S55" s="22" t="inlineStr">
        <is>
          <t>当前维护单机证据索引；Note9/10台推迟到单机主链路通过之后。不在此重新跑120套手册。推迟≠已通过。</t>
        </is>
      </c>
    </row>
  </sheetData>
  <autoFilter ref="A5:S55"/>
  <mergeCells count="2">
    <mergeCell ref="A1:P1"/>
    <mergeCell ref="A2:P3"/>
  </mergeCells>
  <conditionalFormatting sqref="D6:D55">
    <cfRule type="expression" priority="1" dxfId="0">
      <formula>$D6="阻塞"</formula>
    </cfRule>
    <cfRule type="expression" priority="2" dxfId="1">
      <formula>$D6="核心通过"</formula>
    </cfRule>
    <cfRule type="expression" priority="3" dxfId="2">
      <formula>$D6="验收通过"</formula>
    </cfRule>
    <cfRule type="expression" priority="4" dxfId="2">
      <formula>$D6="沿用完成"</formula>
    </cfRule>
    <cfRule type="expression" priority="5" dxfId="4">
      <formula>$D6="进行中"</formula>
    </cfRule>
    <cfRule type="expression" priority="6" dxfId="5">
      <formula>$D6="已有实现待联调"</formula>
    </cfRule>
  </conditionalFormatting>
  <dataValidations count="4">
    <dataValidation sqref="D6:D55" showDropDown="0" showInputMessage="0" showErrorMessage="0" allowBlank="0" type="list">
      <formula1>"未开始,进行中,已有实现待联调,核心通过,验收通过,阻塞,沿用完成"</formula1>
    </dataValidation>
    <dataValidation sqref="M6:M55" showDropDown="0" showInputMessage="0" showErrorMessage="0" allowBlank="0" type="list">
      <formula1>"未核实,部分可用,可用,需修补"</formula1>
    </dataValidation>
    <dataValidation sqref="Q6:Q55" showDropDown="0" showInputMessage="0" showErrorMessage="1" allowBlank="1" errorTitle="请选择列表中的值" error="填写预设状态，具体原因写证据/说明。" type="list">
      <formula1>"继承待核实,待开发,开发中,模块通过,沿用完成"</formula1>
    </dataValidation>
    <dataValidation sqref="R6:R55" showDropDown="0" showInputMessage="0" showErrorMessage="1" allowBlank="1" errorTitle="请选择列表中的值" error="填写预设状态，具体原因写证据/说明。" type="list">
      <formula1>"待核实,无,代码问题,接口冲突,设备账号,授权等待,平台能力"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39" customWidth="1" min="3" max="3"/>
    <col width="43" customWidth="1" min="4" max="4"/>
    <col width="49" customWidth="1" min="5" max="5"/>
    <col width="28" customWidth="1" min="6" max="6"/>
    <col width="42" customWidth="1" min="7" max="7"/>
    <col width="28" customWidth="1" min="8" max="8"/>
  </cols>
  <sheetData>
    <row r="1" ht="38" customHeight="1">
      <c r="A1" s="11" t="inlineStr">
        <is>
          <t>02 / 单包验收卡</t>
        </is>
      </c>
      <c r="B1" s="1" t="n"/>
      <c r="C1" s="1" t="n"/>
      <c r="D1" s="1" t="n"/>
      <c r="E1" s="1" t="n"/>
      <c r="F1" s="1" t="n"/>
      <c r="G1" s="1" t="n"/>
      <c r="H1" s="1" t="n"/>
    </row>
    <row r="2" ht="24" customHeight="1">
      <c r="A2" s="15" t="inlineStr">
        <is>
          <t>每次只读取当前一个P包。模块自测达到固定契约可记01表Q列模块通过；整包真实场景通过才更新D列验收。代码路径是旧计划线索，施工前定向核实。按包内检查点执行，不按天等待或重复开启完整流程。</t>
        </is>
      </c>
      <c r="B2" s="1" t="n"/>
      <c r="C2" s="1" t="n"/>
      <c r="D2" s="1" t="n"/>
      <c r="E2" s="1" t="n"/>
      <c r="F2" s="1" t="n"/>
      <c r="G2" s="1" t="n"/>
      <c r="H2" s="1" t="n"/>
    </row>
    <row r="3" ht="24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 ht="34" customHeight="1">
      <c r="A5" s="17" t="inlineStr">
        <is>
          <t>新编号</t>
        </is>
      </c>
      <c r="B5" s="17" t="inlineStr">
        <is>
          <t>功能包</t>
        </is>
      </c>
      <c r="C5" s="17" t="inlineStr">
        <is>
          <t>接手后的第一步</t>
        </is>
      </c>
      <c r="D5" s="17" t="inlineStr">
        <is>
          <t>核心通过标准</t>
        </is>
      </c>
      <c r="E5" s="17" t="inlineStr">
        <is>
          <t>整包验收 / 停止条件</t>
        </is>
      </c>
      <c r="F5" s="17" t="inlineStr">
        <is>
          <t>验证批次</t>
        </is>
      </c>
      <c r="G5" s="17" t="inlineStr">
        <is>
          <t>原代码定位线索</t>
        </is>
      </c>
      <c r="H5" s="17" t="inlineStr">
        <is>
          <t>旧任务 / 原表行</t>
        </is>
      </c>
    </row>
    <row r="6" ht="130" customHeight="1">
      <c r="A6" s="4" t="inlineStr">
        <is>
          <t>P00</t>
        </is>
      </c>
      <c r="B6" s="4" t="inlineStr">
        <is>
          <t>继承基线、审阅和架构成果</t>
        </is>
      </c>
      <c r="C6" s="4" t="inlineStr">
        <is>
          <t>仅登记当前分支与已有产物位置；没有代码变化不重做T001–T003。</t>
        </is>
      </c>
      <c r="D6" s="4" t="inlineStr">
        <is>
          <t>继承原表已完成状态，不重跑全仓审阅，不再生成一轮8步骤任务。</t>
        </is>
      </c>
      <c r="E6" s="4" t="inlineStr">
        <is>
          <t>保留原SHA与现有ADR；N列缺失的提交/日志链接在交接时补齐。沿用完成不代表本次复核通过。</t>
        </is>
      </c>
      <c r="F6" s="4" t="inlineStr">
        <is>
          <t>无需重复真机</t>
        </is>
      </c>
      <c r="G6" s="4" t="inlineStr">
        <is>
          <t>README.md；AGENTS.md；package.json；pyproject.toml；mobile/companion；apps/{web,studio}；services/*；edge/gateway；mobile/{companion,dpc}；packages/*；infra；tests；docs/adr（新增一期ADR）；services/control-api；services/temporal-worker；packages/automation-sdk</t>
        </is>
      </c>
      <c r="H6" s="4" t="inlineStr">
        <is>
          <t>T001；T002；T003｜原02表行6,7,8</t>
        </is>
      </c>
    </row>
    <row r="7" ht="130" customHeight="1">
      <c r="A7" s="4" t="inlineStr">
        <is>
          <t>P01</t>
        </is>
      </c>
      <c r="B7" s="4" t="inlineStr">
        <is>
          <t>字段映射与双平台命令工厂</t>
        </is>
      </c>
      <c r="C7" s="101" t="inlineStr">
        <is>
          <t>T077工厂已接。下一步与P03/P05联调operationId，不重做field-map。</t>
        </is>
      </c>
      <c r="D7" s="4" t="inlineStr">
        <is>
          <t>31项目录与所有启用字段有唯一归属；Python/TS/Kotlin使用同一CommandV1 fixture；工厂能生成分型参数，不依赖具体Recipe已实现。</t>
        </is>
      </c>
      <c r="E7" s="4" t="inlineStr">
        <is>
          <t>实际claim使用同版CommandV1；小红书允许列表贯通；未知字段/错设备拒绝；OPEN_ONLY不记执行成功。目录最终逐项验收归P49。</t>
        </is>
      </c>
      <c r="F7" s="4" t="inlineStr">
        <is>
          <t>契约测试为主</t>
        </is>
      </c>
      <c r="G7" s="4" t="inlineStr">
        <is>
          <t>apps/web/src/data/operations-catalog.ts；views/OperationView.vue或实际动态页面分发入口（全库定位）；contracts/phase1（新增）；packages/api-contracts；services/control-api/src/cloudctl_api/mobile_schemas.py；APK parser；apps/web/src/views/XianyuSimpleTaskView.vue；XianyuExtraTaskView.vue；后端XianyuCommandFactory</t>
        </is>
      </c>
      <c r="H7" s="4" t="inlineStr">
        <is>
          <t>T004；T012；T077｜原02表行9,17,82</t>
        </is>
      </c>
    </row>
    <row r="8" ht="130" customHeight="1">
      <c r="A8" s="4" t="inlineStr">
        <is>
          <t>P02</t>
        </is>
      </c>
      <c r="B8" s="4" t="inlineStr">
        <is>
          <t>真实登录态、API与统一权限</t>
        </is>
      </c>
      <c r="C8" s="4" t="inlineStr">
        <is>
          <t>按原表已记录的/session实际实现核对路由，联调现有测试；不另造/me第二套身份。</t>
        </is>
      </c>
      <c r="D8" s="4" t="inlineStr">
        <is>
          <t>复用已有session/API模式与权限集合；生产404/501失败即停止，不回退localStorage。</t>
        </is>
      </c>
      <c r="E8" s="4" t="inlineStr">
        <is>
          <t>真实登录读写通过；跨tenant/设备拒绝；低权限不能远控/发版；401/409/500不触发后续副作用。</t>
        </is>
      </c>
      <c r="F8" s="4" t="inlineStr">
        <is>
          <t>API/浏览器，无强制真机</t>
        </is>
      </c>
      <c r="G8" s="4" t="inlineStr">
        <is>
          <t>apps/web/src/api/product-catalog.ts；api/post-catalog.ts；stores/session.ts；env.d.ts；services/control-api/src/cloudctl_api/auth.py；services.py；mobile_routes.py；packages/domain权限定义</t>
        </is>
      </c>
      <c r="H8" s="4" t="inlineStr">
        <is>
          <t>T005；T006｜原02表行10,11</t>
        </is>
      </c>
    </row>
    <row r="9" ht="130" customHeight="1">
      <c r="A9" s="4" t="inlineStr">
        <is>
          <t>P03</t>
        </is>
      </c>
      <c r="B9" s="4" t="inlineStr">
        <is>
          <t>设备及双平台账号绑定、换绑隔离</t>
        </is>
      </c>
      <c r="C9" s="4" t="inlineStr">
        <is>
          <t>复用002/003迁移与现有绑定接口，先在可回滚环境应用并验证；核对T011把暂停计划记为CANCELED的语义。</t>
        </is>
      </c>
      <c r="D9" s="4" t="inlineStr">
        <is>
          <t>同设备每平台仅一个BOUND；闲鱼与小红书可并存；注册/重绑撤销旧凭据并递增版本。</t>
        </is>
      </c>
      <c r="E9" s="4" t="inlineStr">
        <is>
          <t>SIM注册心跳；旧token拒绝；换绑旧任务ACCOUNT_CHANGED且历史归原账号；周期计划按约定暂停；绑定入口不保存平台密码。</t>
        </is>
      </c>
      <c r="F9" s="4" t="inlineStr">
        <is>
          <t>同批验证注册、双平台、换绑</t>
        </is>
      </c>
      <c r="G9" s="4" t="inlineStr">
        <is>
          <t>services/control-api/src/cloudctl_api/mobile_service.py、db.py；mobile/companion/app/src/main/java/com/company/cloudctl/companion/security/与network/；services/control-api/src/cloudctl_api/services.py bind_account_device；mobile_service.py account_status；db.py；发布/订单/统计模型；账号页面；任务创建服务；apps/web/src/views/XianyuSimpleTaskView.vue或XianyuExtraTaskView.vue（按operation映射）；新增版本化Recipe xianyu.bind_account</t>
        </is>
      </c>
      <c r="H9" s="4" t="inlineStr">
        <is>
          <t>T007；T010；T011；T086｜原02表行12,15,16,91</t>
        </is>
      </c>
    </row>
    <row r="10" ht="130" customHeight="1">
      <c r="A10" s="4" t="inlineStr">
        <is>
          <t>P04</t>
        </is>
      </c>
      <c r="B10" s="4" t="inlineStr">
        <is>
          <t>设备、平台能力探测与兼容底稿</t>
        </is>
      </c>
      <c r="C10" s="4" t="inlineStr">
        <is>
          <t>复用现有 OnePlus 9R 报告做当前机探测。Note9/10台改为后期扩展，不作为当前阻塞，也不得填通过。</t>
        </is>
      </c>
      <c r="D10" s="4" t="inlineStr">
        <is>
          <t>自动上报SDK/ROM、两平台包版本及权限能力，不要求用户填版本；缺能力明确reason。</t>
        </is>
      </c>
      <c r="E10" s="4" t="inlineStr">
        <is>
          <t>权限撤销及WiFi/SIM切换在当前机可见；卸载/未知包拒绝。Note9实际报告推迟；OnePlus 证据不能替代 Note9 认证。</t>
        </is>
      </c>
      <c r="F10" s="4" t="inlineStr">
        <is>
          <t>当前机开发与单机验收；Note9/多机认证为后期扩展，另见P49</t>
        </is>
      </c>
      <c r="G10" s="4" t="inlineStr">
        <is>
          <t>mobile/companion/app/src/main/java/com/company/cloudctl/companion/device/LocalHealthCollector；service/CompanionSyncService.kt；services/control-api/src/cloudctl_api/mobile_schemas.py；mobile/companion/app/src/main/java/com/company/cloudctl/companion/automation/TargetLocatorRegistry.kt；services/control-api/src/cloudctl_api/mobile_service.py、db.py</t>
        </is>
      </c>
      <c r="H10" s="4" t="inlineStr">
        <is>
          <t>T008；T009｜原02表行13,14</t>
        </is>
      </c>
    </row>
    <row r="11" ht="130" customHeight="1">
      <c r="A11" s="4" t="inlineStr">
        <is>
          <t>P05</t>
        </is>
      </c>
      <c r="B11" s="4" t="inlineStr">
        <is>
          <t>统一任务事实、事件与任务工作台</t>
        </is>
      </c>
      <c r="C11" s="4" t="inlineStr">
        <is>
          <t>应用并验证004迁移；沿用现有API和事件schema，先让一个真实taskId在网页完整可见。</t>
        </is>
      </c>
      <c r="D11" s="4" t="inlineStr">
        <is>
          <t>唯一PlatformTask/MobileTask事实、游标历史、幂等创建和结构化事件；队列/详情读取真实API。</t>
        </is>
      </c>
      <c r="E11" s="4" t="inlineStr">
        <is>
          <t>双击仅一任务；同设备FIFO、跨设备并行；暂停/失败/取消区分；刷新保留历史；恢复入口最终连接P08而非假按钮。</t>
        </is>
      </c>
      <c r="F11" s="4" t="inlineStr">
        <is>
          <t>与P07/P08共用一批任务证据</t>
        </is>
      </c>
      <c r="G11" s="4" t="inlineStr">
        <is>
          <t>services/control-api/src/cloudctl_api/db.py、services.py、mobile_service.py；新增platform_tasks.py/routes；contracts/phase1/events/results；services/control-api/src/cloudctl_api/mobile_schemas.py、mobile_service.py；apps/web/src/views/TaskQueue/TaskDetail（按现有路由复用）；新增共用任务组件</t>
        </is>
      </c>
      <c r="H11" s="4" t="inlineStr">
        <is>
          <t>T013；T014；T028｜原02表行18,19,33</t>
        </is>
      </c>
    </row>
    <row r="12" ht="130" customHeight="1">
      <c r="A12" s="4" t="inlineStr">
        <is>
          <t>P06</t>
        </is>
      </c>
      <c r="B12" s="4" t="inlineStr">
        <is>
          <t>快照冻结与立即、预约、周期调度</t>
        </is>
      </c>
      <c r="C12" s="4" t="inlineStr">
        <is>
          <t>先补T017的Temporal接线与006迁移，再验证一次定时触发；资源解析按P19/P20接口联调。</t>
        </is>
      </c>
      <c r="D12" s="4" t="inlineStr">
        <is>
          <t>复用现有快照及ScheduleEditor；接通真实Temporal触发，不把API手动触发视为预约已完成。</t>
        </is>
      </c>
      <c r="E12" s="4" t="inlineStr">
        <is>
          <t>预约自动触发、周期幂等、停用不再触发；多设备独立taskId；时区/补发策略明确；资源选值/文案/素材在快照冻结，重试不漂移。</t>
        </is>
      </c>
      <c r="F12" s="4" t="inlineStr">
        <is>
          <t>预约与发布共用证据，调度边界自动化</t>
        </is>
      </c>
      <c r="G12" s="4" t="inlineStr">
        <is>
          <t>复用PublishSnapshotRow；新增通用TaskSnapshot或等价结构；services/control-api/src/cloudctl_api/services.py；services/temporal-worker；services/outbox-dispatcher；新增schedule模型/API；apps/web/src/components/ScheduleEditor.vue（新增）；所有一期任务表单</t>
        </is>
      </c>
      <c r="H12" s="4" t="inlineStr">
        <is>
          <t>T015；T017；T018｜原02表行20,22,23</t>
        </is>
      </c>
    </row>
    <row r="13" ht="130" customHeight="1">
      <c r="A13" s="4" t="inlineStr">
        <is>
          <t>P07</t>
        </is>
      </c>
      <c r="B13" s="4" t="inlineStr">
        <is>
          <t>本地Recipe生产接线与执行生命周期</t>
        </is>
      </c>
      <c r="C13" s="101" t="inlineStr">
        <is>
          <t>CommandV1生产领取已接。下一步P14：人工签名发布候选Recipe到测试机。</t>
        </is>
      </c>
      <c r="D13" s="4" t="inlineStr">
        <is>
          <t>现有RecipeEngine接上真实领取链路；云端下发高层命令，手机本地执行，旧steps只保留兼容入口。</t>
        </is>
      </c>
      <c r="E13" s="4" t="inlineStr">
        <is>
          <t>真机下载并执行获准发布的指定Recipe；续租/事件上传不被主循环阻塞；未知页暂停；取消、下载失败和权限缺失不假成功。</t>
        </is>
      </c>
      <c r="F13" s="4" t="inlineStr">
        <is>
          <t>同包最多两批：真实领取/异常</t>
        </is>
      </c>
      <c r="G13" s="4" t="inlineStr">
        <is>
          <t>contracts/phase1/recipe-manifest.schema.json（新增）；packages/automation-sdk；mobile/companion/app/src/main/java/com/company/cloudctl/companion/automation/（新增RecipeEngine/RecipeRegistry/RecipeContext）；mobile/companion/app/src/main/java/com/company/cloudctl/companion/service/CompanionSyncService.kt；automation/CloudCtlAccessibilityService.kt；mobile/companion/app/src/main/java/com/company/cloudctl/companion/data/AutomationStore.kt；service/CompanionSyncService.kt；network/</t>
        </is>
      </c>
      <c r="H13" s="4" t="inlineStr">
        <is>
          <t>T019；T020；T021；T022｜原02表行24,25,26,27</t>
        </is>
      </c>
    </row>
    <row r="14" ht="130" customHeight="1">
      <c r="A14" s="4" t="inlineStr">
        <is>
          <t>P08</t>
        </is>
      </c>
      <c r="B14" s="4" t="inlineStr">
        <is>
          <t>单写锁与暂停→人工→同task恢复</t>
        </is>
      </c>
      <c r="C14" s="101" t="inlineStr">
        <is>
          <t>暂停/取消/恢复门禁已接。下一步用探针补CommandV1同task续跑；不含最终提交。</t>
        </is>
      </c>
      <c r="D14" s="4" t="inlineStr">
        <is>
          <t>直接从T026现有成功现场接T027：暂停确认→人工处理→RESUME_CHECK→同taskId续跑，队头阻塞保持。</t>
        </is>
      </c>
      <c r="E14" s="4" t="inlineStr">
        <is>
          <t>继续原检查点而非第1步；旧epoch/未核对页面不得执行；失租立停；取消不可恢复；已有提交不重放；账号/版本不一致维持暂停。</t>
        </is>
      </c>
      <c r="F14" s="4" t="inlineStr">
        <is>
          <t>复用T026证据；补1批恢复与主要拒绝分支</t>
        </is>
      </c>
      <c r="G14" s="4" t="inlineStr">
        <is>
          <t>services/control-api/src/cloudctl_api/mobile_service.py claim；services.py acquire_lease；db.py DeviceLeaseRow；APK执行门禁；mobile/companion/app/src/main/java/com/company/cloudctl/companion/data/AutomationStore.kt；automation/RecipeContext；PlatformTask状态机；APK RecipeContext cancel/pause token；控制API；POST task:resume；APK ResumeValidator；任务详情按钮</t>
        </is>
      </c>
      <c r="H14" s="4" t="inlineStr">
        <is>
          <t>T016；T023；T026；T027｜原02表行21,28,31,32</t>
        </is>
      </c>
    </row>
    <row r="15" ht="130" customHeight="1">
      <c r="A15" s="4" t="inlineStr">
        <is>
          <t>P09</t>
        </is>
      </c>
      <c r="B15" s="4" t="inlineStr">
        <is>
          <t>共享提交门禁与不确定结果核对</t>
        </is>
      </c>
      <c r="C15" s="101" t="inlineStr">
        <is>
          <t>双端RECONCILING加固已部署，89后端/78Android/3设备计数测试通过。真实提交接线与G3仍待验，见 cloudctl-source/artifacts/tasks/P09-unknown/hardening-20260910.md</t>
        </is>
      </c>
      <c r="D15" s="4" t="inlineStr">
        <is>
          <t>复用ActionJournal：INTENT/APPLIED/UNKNOWN；同actionKey已成功不再执行；无可靠核对结果则保持暂停/RECONCILING。</t>
        </is>
      </c>
      <c r="E15" s="4" t="inlineStr">
        <is>
          <t>发布/扣费/删除前确认且参数冻结；点击后断网、丢ACK不盲重试；核对有证据才收敛；预算变化重新确认；不承诺第三方UI严格exactly-once。</t>
        </is>
      </c>
      <c r="F15" s="4" t="inlineStr">
        <is>
          <t>共享故障场景集中一批；各动作保留独立结果</t>
        </is>
      </c>
      <c r="G15" s="4" t="inlineStr">
        <is>
          <t>复用发布commit ledger；APK新增ActionJournal；服务端操作结果账；新增ReconciliationService；平台Recipe核对分支；Web任务详情</t>
        </is>
      </c>
      <c r="H15" s="4" t="inlineStr">
        <is>
          <t>T024；T025｜原02表行29,30</t>
        </is>
      </c>
    </row>
    <row r="16" ht="130" customHeight="1">
      <c r="A16" s="4" t="inlineStr">
        <is>
          <t>P10</t>
        </is>
      </c>
      <c r="B16" s="4" t="inlineStr">
        <is>
          <t>WebRTC会话、采集与实时播放器</t>
        </is>
      </c>
      <c r="C16" s="4" t="inlineStr">
        <is>
          <t>包内依次交付：会话/授权→首帧→SIM relay；每段实际通过即可推进，不为每段另建任务单或重复审阅。</t>
        </is>
      </c>
      <c r="D16" s="4" t="inlineStr">
        <is>
          <t>打通手机授权采集→WebRTC信令/TURN→网页真实视频；只读观看不占设备写锁。</t>
        </is>
      </c>
      <c r="E16" s="4" t="inlineStr">
        <is>
          <t>SIM公网强制relay可用；拒绝投屏授权明确显示；切换设备不串屏；断网不假实时；无观看者不持续高码率上传。720p/约20fps仅原稿建议起点。</t>
        </is>
      </c>
      <c r="F16" s="4" t="inlineStr">
        <is>
          <t>首帧与公网两批；记录实际耗时，30分钟稳定性观察要求另按G5保留。</t>
        </is>
      </c>
      <c r="G16" s="4" t="inlineStr">
        <is>
          <t>control-api新增RealtimeSessionService；复用edge-hub连接职责；部署TURN；mobile/companion/app/src/main/java/com/company/cloudctl/companion/新增screen/ScreenCaptureService.kt；AndroidManifest.xml；授权Activity；mobile/companion/app/src/main/java/com/company/cloudctl/companion/新增realtime/PeerSessionManager.kt；apps/web/src/views/DeviceDetailView.vue；新增components/DeviceLiveScreen.vue</t>
        </is>
      </c>
      <c r="H16" s="4" t="inlineStr">
        <is>
          <t>T029；T030；T031；T032｜原02表行34,35,36,37</t>
        </is>
      </c>
    </row>
    <row r="17" ht="130" customHeight="1">
      <c r="A17" s="4" t="inlineStr">
        <is>
          <t>P11</t>
        </is>
      </c>
      <c r="B17" s="4" t="inlineStr">
        <is>
          <t>远控面板、手势输入与交还自动化</t>
        </is>
      </c>
      <c r="C17" s="4" t="inlineStr">
        <is>
          <t>复用T026停机握手与原生动作，先做接管→点击→交还的完整路径，再补输入边界。</t>
        </is>
      </c>
      <c r="D17" s="4" t="inlineStr">
        <is>
          <t>看屏/暂停接管/交还继续/取消四种操作分离；点击、滑动、长按、中文输入与系统键共用控制协议。</t>
        </is>
      </c>
      <c r="E17" s="4" t="inlineStr">
        <is>
          <t>自动化未停不能写；epoch/seq/ttl及屏幕版本校验；横竖屏/浏览器缩放无误点；重连不补旧点击；剪贴板受限时明确提示；关页不偷偷续跑。</t>
        </is>
      </c>
      <c r="F17" s="4" t="inlineStr">
        <is>
          <t>共用一批远控+恢复场景</t>
        </is>
      </c>
      <c r="G17" s="4" t="inlineStr">
        <is>
          <t>新增RemoteControlSession；contracts/RemoteCommandV1；control lease服务；mobile/companion/app/src/main/java/com/company/cloudctl/companion/automation/CloudCtlAccessibilityService.kt；新增RemoteCommandExecutor.kt；apps/web/src/components/DeviceLiveScreen.vue；新增RemoteControlPanel.vue；mobile/companion/app/src/main/java/com/company/cloudctl/companion/input/；Web RemoteControlPanel</t>
        </is>
      </c>
      <c r="H17" s="4" t="inlineStr">
        <is>
          <t>T034；T035；T036；T037｜原02表行39,40,41,42</t>
        </is>
      </c>
    </row>
    <row r="18" ht="130" customHeight="1">
      <c r="A18" s="4" t="inlineStr">
        <is>
          <t>P12</t>
        </is>
      </c>
      <c r="B18" s="4" t="inlineStr">
        <is>
          <t>长时观看、重连与设备工作台</t>
        </is>
      </c>
      <c r="C18" s="4" t="inlineStr">
        <is>
          <t>让同一个DeviceLiveScreen进入设备详情；复用P10首帧证据，集中做30分钟与网络切换。</t>
        </is>
      </c>
      <c r="D18" s="4" t="inlineStr">
        <is>
          <t>设备卡片接真实能力、账号、活动任务和网络；长时观看/重连/授权状态统一展示。</t>
        </is>
      </c>
      <c r="E18" s="4" t="inlineStr">
        <is>
          <t>连续观看30分钟不被120秒预览过期打断；重连不重复建capture；任务中观看不暂停；离线、授权丢失、等待人工可区分。</t>
        </is>
      </c>
      <c r="F18" s="4" t="inlineStr">
        <is>
          <t>1次连续观看覆盖重连/设备切换</t>
        </is>
      </c>
      <c r="G18" s="4" t="inlineStr">
        <is>
          <t>RealtimeSessionService；APK CaptureService；Web设备状态组件；apps/web/src/设备列表视图与DeviceDetailView.vue；device API</t>
        </is>
      </c>
      <c r="H18" s="4" t="inlineStr">
        <is>
          <t>T033；T038｜原02表行38,43</t>
        </is>
      </c>
    </row>
    <row r="19" ht="130" customHeight="1">
      <c r="A19" s="4" t="inlineStr">
        <is>
          <t>P13</t>
        </is>
      </c>
      <c r="B19" s="4" t="inlineStr">
        <is>
          <t>页面定位器采样与版本回归</t>
        </is>
      </c>
      <c r="C19" s="4" t="inlineStr">
        <is>
          <t>先采登录/首页/发布/列表等首条闭环所需页面；后续页面随相应业务包补齐。</t>
        </is>
      </c>
      <c r="D19" s="4" t="inlineStr">
        <is>
          <t>以真实平台版本采集页面fixture与定位后置条件；提供共用定位/选择适配器契约，不等全业务完成。</t>
        </is>
      </c>
      <c r="E19" s="4" t="inlineStr">
        <is>
          <t>多匹配不盲点；版本未知安全暂停；采样可复跑；每个业务包只追加自己新增页面的fixture，不重扫全部页面。</t>
        </is>
      </c>
      <c r="F19" s="4" t="inlineStr">
        <is>
          <t>集中采样；新增页面按业务批补样</t>
        </is>
      </c>
      <c r="G19" s="4" t="inlineStr">
        <is>
          <t>mobile/companion/app/src/main/java/com/company/cloudctl/companion/automation/TargetLocatorRegistry.kt；新增测试采样工具；版本包fixtures/</t>
        </is>
      </c>
      <c r="H19" s="4" t="inlineStr">
        <is>
          <t>T039｜原02表行44</t>
        </is>
      </c>
    </row>
    <row r="20" ht="130" customHeight="1">
      <c r="A20" s="4" t="inlineStr">
        <is>
          <t>P14</t>
        </is>
      </c>
      <c r="B20" s="4" t="inlineStr">
        <is>
          <t>Recipe手动发布、签名校验与回退</t>
        </is>
      </c>
      <c r="C20" s="101" t="inlineStr">
        <is>
          <t>2026-09-10 单机签名版本生命周期验收通过，详见 cloudctl-source/artifacts/tasks/P14-multi-agent/P14-INTEGRATION-ACCEPTANCE/summary.md。P15依赖已解锁，G3仍未过。</t>
        </is>
      </c>
      <c r="D20" s="4" t="inlineStr">
        <is>
          <t>复用既有签名/晋级能力，后台用户点击发布后才分发；设备空闲校验后激活。</t>
        </is>
      </c>
      <c r="E20" s="4" t="inlineStr">
        <is>
          <t>未发布/篡改/不兼容包拒绝；运行和暂停任务固定旧版本；下载中断旧版可用；回退与每设备版本可审计。</t>
        </is>
      </c>
      <c r="F20" s="4" t="inlineStr">
        <is>
          <t>发布/暂停中升级/回退一批</t>
        </is>
      </c>
      <c r="G20" s="4" t="inlineStr">
        <is>
          <t>复用AutomationVersion/package_signature/promotions；新增部署关联与验证结果；apps/web/src/新增自动化版本管理页（复用已有版本工作台）；mobile/companion/app/src/main/java/com/company/cloudctl/companion/新增updates/RecipePackageManager.kt；AutomationStore</t>
        </is>
      </c>
      <c r="H20" s="4" t="inlineStr">
        <is>
          <t>T040；T041；T042｜原02表行45,46,47</t>
        </is>
      </c>
    </row>
    <row r="21" ht="130" customHeight="1">
      <c r="A21" s="4" t="inlineStr">
        <is>
          <t>P15</t>
        </is>
      </c>
      <c r="B21" s="4" t="inlineStr">
        <is>
          <t>APK整包升级与系统确认</t>
        </is>
      </c>
      <c r="C21" s="4" t="inlineStr">
        <is>
          <t>在现有Companion上做一次保留数据升级；不引入Root/Device Owner或静默安装前提。</t>
        </is>
      </c>
      <c r="D21" s="4" t="inlineStr">
        <is>
          <t>整包升级沿用系统允许的安装流程；保留业务数据和任务状态。</t>
        </is>
      </c>
      <c r="E21" s="4" t="inlineStr">
        <is>
          <t>同签名升级成功；拒绝安装有明确状态；升级后不重放已提交动作；不把Recipe回退等同APK任意降级。</t>
        </is>
      </c>
      <c r="F21" s="4" t="inlineStr">
        <is>
          <t>1批升级、拒绝与恢复</t>
        </is>
      </c>
      <c r="G21" s="4" t="inlineStr">
        <is>
          <t>复用APK发布/下载设施；Companion PackageInstaller安装入口</t>
        </is>
      </c>
      <c r="H21" s="4" t="inlineStr">
        <is>
          <t>T043｜原02表行48</t>
        </is>
      </c>
    </row>
    <row r="22" ht="130" customHeight="1">
      <c r="A22" s="4" t="inlineStr">
        <is>
          <t>P16</t>
        </is>
      </c>
      <c r="B22" s="4" t="inlineStr">
        <is>
          <t>媒体上传、持久资产与权限</t>
        </is>
      </c>
      <c r="C22" s="4" t="inlineStr">
        <is>
          <t>先把MediaAsset接口/fixture提供给编辑器和下载模块；后端与上传UI同一包完成。</t>
        </is>
      </c>
      <c r="D22" s="4" t="inlineStr">
        <is>
          <t>一个上传组件接真实MediaAsset；只持久化assetId/hash等引用，临时预览地址不作业务事实。</t>
        </is>
      </c>
      <c r="E22" s="4" t="inlineStr">
        <is>
          <t>跨浏览器可读；上传未完成不得发布；越权下载拒绝；共享引用不误删；图片/视频云端长期保存。</t>
        </is>
      </c>
      <c r="F22" s="4" t="inlineStr">
        <is>
          <t>浏览器/API验证，无强制真机</t>
        </is>
      </c>
      <c r="G22" s="4" t="inlineStr">
        <is>
          <t>apps/web/src/新增api/media-assets.ts与components/MediaAssetUploader.vue；ProductEdit/PostEditor；现有MediaAsset/ObjectStore/ContentRevisionMedia/ProductMedia/MediaDerivative服务</t>
        </is>
      </c>
      <c r="H22" s="4" t="inlineStr">
        <is>
          <t>T044；T045｜原02表行49,50</t>
        </is>
      </c>
    </row>
    <row r="23" ht="130" customHeight="1">
      <c r="A23" s="4" t="inlineStr">
        <is>
          <t>P17</t>
        </is>
      </c>
      <c r="B23" s="4" t="inlineStr">
        <is>
          <t>素材下发、流式下载与确定选取</t>
        </is>
      </c>
      <c r="C23" s="4" t="inlineStr">
        <is>
          <t>先下发一图一视频验证manifest；再在真实图库验证选取，不等完整发布页面全部完成。</t>
        </is>
      </c>
      <c r="D23" s="4" t="inlineStr">
        <is>
          <t>任务/设备绑定manifest，手机流式校验下载；图库选择以本任务asset身份与顺序为准。</t>
        </is>
      </c>
      <c r="E23" s="4" t="inlineStr">
        <is>
          <t>大视频下载不断租；断点不选半文件；旧图库不混入；越设备/过期访问拒绝；不误删用户照片。</t>
        </is>
      </c>
      <c r="F23" s="4" t="inlineStr">
        <is>
          <t>下载+图库一批；大视频/断网补一批</t>
        </is>
      </c>
      <c r="G23" s="4" t="inlineStr">
        <is>
          <t>services/control-api/src/cloudctl_api/mobile_service.py；新增MediaDelivery关联模型/migration；mobile/companion/app/src/main/java/com/company/cloudctl/companion/现有媒体下载协调器；任务文件缓存；mobile/companion/app/src/main/java/com/company/cloudctl/companion/新增media/TaskMediaAlbum.kt；平台picker helpers</t>
        </is>
      </c>
      <c r="H23" s="4" t="inlineStr">
        <is>
          <t>T046；T047；T048｜原02表行51,52,53</t>
        </is>
      </c>
    </row>
    <row r="24" ht="130" customHeight="1">
      <c r="A24" s="4" t="inlineStr">
        <is>
          <t>P18</t>
        </is>
      </c>
      <c r="B24" s="4" t="inlineStr">
        <is>
          <t>文件推送与截图证据闭环</t>
        </is>
      </c>
      <c r="C24" s="4" t="inlineStr">
        <is>
          <t>复用MediaDelivery与资产上传，不新建独立文件服务；先做一次推送和一次失败截图。</t>
        </is>
      </c>
      <c r="D24" s="4" t="inlineStr">
        <is>
          <t>电脑推送到指定手机文件箱/相册；用户截图和失败现场能上传并关联真实step。</t>
        </is>
      </c>
      <c r="E24" s="4" t="inlineStr">
        <is>
          <t>跨设备隔离；本机删除不误删云端；无截图仍有错误诊断；证据越权拒绝；直播不默认全程录像。</t>
        </is>
      </c>
      <c r="F24" s="4" t="inlineStr">
        <is>
          <t>与P11/P17共用设备会话</t>
        </is>
      </c>
      <c r="G24" s="4" t="inlineStr">
        <is>
          <t>新增FilePush任务用途与手机文件箱UI；复用MediaAsset；新增TaskEvidence元数据；对象存储上传；APK EvidenceUploader；任务详情</t>
        </is>
      </c>
      <c r="H24" s="4" t="inlineStr">
        <is>
          <t>T049；T050｜原02表行54,55</t>
        </is>
      </c>
    </row>
    <row r="25" ht="130" customHeight="1">
      <c r="A25" s="4" t="inlineStr">
        <is>
          <t>P19</t>
        </is>
      </c>
      <c r="B25" s="4" t="inlineStr">
        <is>
          <t>水印配置、派生素材与真实预览</t>
        </is>
      </c>
      <c r="C25" s="4" t="inlineStr">
        <is>
          <t>复用现有派生工作流；一个模板贯通配置→预览→输出asset，随后补全field-map有效字段。</t>
        </is>
      </c>
      <c r="D25" s="4" t="inlineStr">
        <is>
          <t>全部有效水印字段存后端；版本化配置生成确定的派生asset，预览与发布用同一规则。</t>
        </is>
      </c>
      <c r="E25" s="4" t="inlineStr">
        <is>
          <t>同输入可复用；原图不改；未知变量拒绝；派生失败不启动发布；旧任务不受后改配置影响。</t>
        </is>
      </c>
      <c r="F25" s="4" t="inlineStr">
        <is>
          <t>预览API为主；真实发布与P28共用</t>
        </is>
      </c>
      <c r="G25" s="4" t="inlineStr">
        <is>
          <t>services/control-api/src/cloudctl_api/新增watermark profile服务；apps/web/src/views/PostWatermarkView.vue字段映射；现有MediaDerivative/outbox worker；新增watermark renderer；apps/web/src/views/PostWatermarkView.vue；新增watermark API client</t>
        </is>
      </c>
      <c r="H25" s="4" t="inlineStr">
        <is>
          <t>T051；T052；T053｜原02表行56,57,58</t>
        </is>
      </c>
    </row>
    <row r="26" ht="130" customHeight="1">
      <c r="A26" s="4" t="inlineStr">
        <is>
          <t>P20</t>
        </is>
      </c>
      <c r="B26" s="4" t="inlineStr">
        <is>
          <t>地址、描述和标签共享资源池</t>
        </is>
      </c>
      <c r="C26" s="4" t="inlineStr">
        <is>
          <t>先交共享PoolSelectionSnapshot与CRUD，再接三个薄页面；不为每类池重复建库存储。</t>
        </is>
      </c>
      <c r="D26" s="4" t="inlineStr">
        <is>
          <t>共用资源模型实现地址池/设备绑定、描述变量、标签CRUD与确定性选取。</t>
        </is>
      </c>
      <c r="E26" s="4" t="inlineStr">
        <is>
          <t>跨浏览器一致；空池/未知变量明确拒绝；设备池优先等默认可配置；实际选值冻结可追溯；重试不重新随机。</t>
        </is>
      </c>
      <c r="F26" s="4" t="inlineStr">
        <is>
          <t>API/浏览器为主；发布集成共享证据</t>
        </is>
      </c>
      <c r="G26" s="4" t="inlineStr">
        <is>
          <t>services/control-api/src/cloudctl_api/新增ResourcePool/PoolItem/DevicePoolBinding；migration；apps/web/src/通用地址池、XianyuDeviceAddressPoolView等实际页面；后端address resolver；apps/web/src/XianyuDescriptionPoolView.vue；后端description resolver；apps/web/src/XianyuTagPoolView.vue；后端tag resolver</t>
        </is>
      </c>
      <c r="H26" s="4" t="inlineStr">
        <is>
          <t>T054；T055；T056；T057｜原02表行59,60,61,62</t>
        </is>
      </c>
    </row>
    <row r="27" ht="130" customHeight="1">
      <c r="A27" s="4" t="inlineStr">
        <is>
          <t>P21</t>
        </is>
      </c>
      <c r="B27" s="4" t="inlineStr">
        <is>
          <t>商品模型、编辑、分组与列表</t>
        </is>
      </c>
      <c r="C27" s="4" t="inlineStr">
        <is>
          <t>先做价格/外键迁移与一条商品编辑闭环，再接列表分组；水印/池字段允许先接契约，但整包验收不能漏联调。</t>
        </is>
      </c>
      <c r="D27" s="4" t="inlineStr">
        <is>
          <t>修复金额类型与分组外键；同一套CRUD接通完整编辑、列表筛选、复制和批量分组。</t>
        </is>
      </c>
      <c r="E27" s="4" t="inlineStr">
        <is>
          <t>金额区间正确；编辑转新建不覆盖旧记录；有效字段全量往返；复制带媒体；409后不继续删除；批量一致性及常数级查询验证。</t>
        </is>
      </c>
      <c r="F27" s="4" t="inlineStr">
        <is>
          <t>浏览器/API；素材真机使用与P28共用</t>
        </is>
      </c>
      <c r="G27" s="4" t="inlineStr">
        <is>
          <t>services/control-api/src/cloudctl_api/db.py；现有migration目录；services.py商品分组逻辑；services/control-api/src/cloudctl_api/services.py商品服务与routes/schemas；apps/web/src/data/product-groups.ts及分组页；后端ProductGroup routes；apps/web/src/views/ProductEditView.vue；api/product-catalog.ts；apps/web/src/商品列表视图</t>
        </is>
      </c>
      <c r="H27" s="4" t="inlineStr">
        <is>
          <t>T058；T059；T060；T061；T062｜原02表行63,64,65,66,67</t>
        </is>
      </c>
    </row>
    <row r="28" ht="130" customHeight="1">
      <c r="A28" s="4" t="inlineStr">
        <is>
          <t>P22</t>
        </is>
      </c>
      <c r="B28" s="4" t="inlineStr">
        <is>
          <t>商品导入与安全导出</t>
        </is>
      </c>
      <c r="C28" s="4" t="inlineStr">
        <is>
          <t>固定小样本：正常、错误行、重复批次、缺媒体；先跑后端批次，再接预览/提交页面。</t>
        </is>
      </c>
      <c r="D28" s="4" t="inlineStr">
        <is>
          <t>预检→行级错误→幂等提交→媒体引用→结果恢复完整闭环；导出文本转义统一放序列化层。</t>
        </is>
      </c>
      <c r="E28" s="4" t="inlineStr">
        <is>
          <t>第50行错误可定位；重复导入不重复商品；内网URL拒绝；缺媒体明确报告；刷新可查批次；CSV/Excel文本无公式执行且金额可计算。</t>
        </is>
      </c>
      <c r="F28" s="4" t="inlineStr">
        <is>
          <t>无需专门真机；媒体复用P17证据</t>
        </is>
      </c>
      <c r="G28" s="4" t="inlineStr">
        <is>
          <t>新增ImportBatch/ImportRowResult；ProductImportView字段映射；新增import service；现有products:import和media ingest扩展；apps/web/src/views/ProductImportView.vue；新增api/import-batches.ts；导入导出共用serializer；商品/订单导出接口</t>
        </is>
      </c>
      <c r="H28" s="4" t="inlineStr">
        <is>
          <t>T063；T064；T065；T070｜原02表行68,69,70,75</t>
        </is>
      </c>
    </row>
    <row r="29" ht="130" customHeight="1">
      <c r="A29" s="4" t="inlineStr">
        <is>
          <t>P23</t>
        </is>
      </c>
      <c r="B29" s="4" t="inlineStr">
        <is>
          <t>一次性旧浏览器数据迁移</t>
        </is>
      </c>
      <c r="C29" s="4" t="inlineStr">
        <is>
          <t>先备份一份旧localStorage样本；与P22复用预检能力，只迁移真实数据。</t>
        </is>
      </c>
      <c r="D29" s="4" t="inlineStr">
        <is>
          <t>导出旧本地数据、预检并写真实后端，不导入模拟任务为真实执行任务。</t>
        </is>
      </c>
      <c r="E29" s="4" t="inlineStr">
        <is>
          <t>重复迁移幂等；无法恢复的blob/视频出缺失清单；保留可追溯结果；不静默制造素材或补发旧任务。</t>
        </is>
      </c>
      <c r="F29" s="4" t="inlineStr">
        <is>
          <t>浏览器迁移测试</t>
        </is>
      </c>
      <c r="G29" s="4" t="inlineStr">
        <is>
          <t>apps/web/src/新增本地数据迁移工具；各资源import API</t>
        </is>
      </c>
      <c r="H29" s="4" t="inlineStr">
        <is>
          <t>T066｜原02表行71</t>
        </is>
      </c>
    </row>
    <row r="30" ht="130" customHeight="1">
      <c r="A30" s="4" t="inlineStr">
        <is>
          <t>P24</t>
        </is>
      </c>
      <c r="B30" s="4" t="inlineStr">
        <is>
          <t>帖子编辑、分组、修订与归档</t>
        </is>
      </c>
      <c r="C30" s="4" t="inlineStr">
        <is>
          <t>先做一篇图文与一篇视频内容的跨浏览器保存，再接列表/分组，不混入手机发布。</t>
        </is>
      </c>
      <c r="D30" s="4" t="inlineStr">
        <is>
          <t>内容修订作为唯一发布输入；编辑器媒体、标题、列表、分组和归档接真实API。</t>
        </is>
      </c>
      <c r="E30" s="4" t="inlineStr">
        <is>
          <t>列表/详情/revision标题一致；刷新媒体仍在；删除不复活；发布引用正确修订；无N+1详情请求。</t>
        </is>
      </c>
      <c r="F30" s="4" t="inlineStr">
        <is>
          <t>浏览器/API验证</t>
        </is>
      </c>
      <c r="G30" s="4" t="inlineStr">
        <is>
          <t>services/control-api/src/cloudctl_api/services.py内容revision/group/archive；post schemas；apps/web/src/views/PostEditorView.vue；api/post-catalog.ts；apps/web/src/帖子列表与分组视图；data/post-groups.ts</t>
        </is>
      </c>
      <c r="H30" s="4" t="inlineStr">
        <is>
          <t>T067；T068；T069｜原02表行72,73,74</t>
        </is>
      </c>
    </row>
    <row r="31" ht="130" customHeight="1">
      <c r="A31" s="4" t="inlineStr">
        <is>
          <t>P25</t>
        </is>
      </c>
      <c r="B31" s="4" t="inlineStr">
        <is>
          <t>小红书发布命令与统一页面入口</t>
        </is>
      </c>
      <c r="C31" s="4" t="inlineStr">
        <is>
          <t>先修小红书生产允许列表并从网页生成真实命令；Recipe可先用同契约fixture开发，但不能据此记发布成功。</t>
        </is>
      </c>
      <c r="D31" s="4" t="inlineStr">
        <is>
          <t>两个发布入口复用xhs.publish_note.v1；设备选择、立即/预约、任务观察均读真实任务API。</t>
        </is>
      </c>
      <c r="E31" s="4" t="inlineStr">
        <is>
          <t>双击幂等；改帖不改旧快照；实际图文/视频结果由P26/P27回写；定时下发和观看不中断完成真实闭环。</t>
        </is>
      </c>
      <c r="F31" s="4" t="inlineStr">
        <is>
          <t>与P26/P27共用发布任务</t>
        </is>
      </c>
      <c r="G31" s="4" t="inlineStr">
        <is>
          <t>新增xhs.publish_note参数schema与工厂；PostPublishView；授权任务入口；apps/web/src/views/PostPublishView.vue；小红书授权发布入口</t>
        </is>
      </c>
      <c r="H31" s="4" t="inlineStr">
        <is>
          <t>T071；T076｜原02表行76,81</t>
        </is>
      </c>
    </row>
    <row r="32" ht="130" customHeight="1">
      <c r="A32" s="4" t="inlineStr">
        <is>
          <t>P26</t>
        </is>
      </c>
      <c r="B32" s="4" t="inlineStr">
        <is>
          <t>小红书图文发布与草稿完整流程</t>
        </is>
      </c>
      <c r="C32" s="4" t="inlineStr">
        <is>
          <t>先做已发布Recipe的图文主路径，再同批验证草稿与一次提交后断网；不等待视频全完才调图文。</t>
        </is>
      </c>
      <c r="D32" s="4" t="inlineStr">
        <is>
          <t>桌面启动→账号核验→选本任务多图→标题正文标签→直发/草稿→真实结果；最终点击统一经P09。</t>
        </is>
      </c>
      <c r="E32" s="4" t="inlineStr">
        <is>
          <t>旧图库不混图；读回文案一致；DIRECT与DRAFT结果区分；未知页暂停；丢完成回执不重复发布；T075视频模式由P27协同覆盖。</t>
        </is>
      </c>
      <c r="F32" s="4" t="inlineStr">
        <is>
          <t>图文+草稿一批；主要异常一批</t>
        </is>
      </c>
      <c r="G32" s="4" t="inlineStr">
        <is>
          <t>版本包xiaohongshu/publish_note及页面状态定义；xiaohongshu/publish_note图文分支及input helpers；xiaohongshu/publish_note final分支；typed result mapper</t>
        </is>
      </c>
      <c r="H32" s="4" t="inlineStr">
        <is>
          <t>T072；T073；T075｜原02表行77,78,80</t>
        </is>
      </c>
    </row>
    <row r="33" ht="130" customHeight="1">
      <c r="A33" s="4" t="inlineStr">
        <is>
          <t>P27</t>
        </is>
      </c>
      <c r="B33" s="4" t="inlineStr">
        <is>
          <t>小红书视频笔记、封面与处理等待</t>
        </is>
      </c>
      <c r="C33" s="4" t="inlineStr">
        <is>
          <t>直接在P26共用Recipe能力上增加VIDEO分支；不要重复建设任务工厂、账号校验或结果上报。</t>
        </is>
      </c>
      <c r="D33" s="4" t="inlineStr">
        <is>
          <t>复用小红书发布框架，接真实视频选择、处理等待、封面和对应发布模式。</t>
        </is>
      </c>
      <c r="E33" s="4" t="inlineStr">
        <is>
          <t>实际视频笔记可发布；慢处理不假成功；格式不支持明确报错；恢复不重复导入；视频结果与图文模式一致遵守防重。</t>
        </is>
      </c>
      <c r="F33" s="4" t="inlineStr">
        <is>
          <t>视频主路径+慢处理/恢复一批</t>
        </is>
      </c>
      <c r="G33" s="4" t="inlineStr">
        <is>
          <t>xiaohongshu/publish_note视频分支</t>
        </is>
      </c>
      <c r="H33" s="4" t="inlineStr">
        <is>
          <t>T074｜原02表行79</t>
        </is>
      </c>
    </row>
    <row r="34" ht="130" customHeight="1">
      <c r="A34" s="4" t="inlineStr">
        <is>
          <t>P28</t>
        </is>
      </c>
      <c r="B34" s="4" t="inlineStr">
        <is>
          <t>闲鱼商品发布完整闭环</t>
        </is>
      </c>
      <c r="C34" s="4" t="inlineStr">
        <is>
          <t>优先跑一个不带可选水印/池的最小真实发布；再补齐水印、池和全部字段，最小成功不等于整包验收。</t>
        </is>
      </c>
      <c r="D34" s="4" t="inlineStr">
        <is>
          <t>网页商品快照→启动闲鱼→确定选图→字段填入→直发/草稿→结果回传；不把保存配置当创建任务。</t>
        </is>
      </c>
      <c r="E34" s="4" t="inlineStr">
        <is>
          <t>所有启用字段被消费；水印/地址/文案/标签冻结；草稿与直发一致；不重复发布；刷新可查历史；旧API也遵守同一writer。</t>
        </is>
      </c>
      <c r="F34" s="4" t="inlineStr">
        <is>
          <t>最小闭环一批；完整字段/异常一批</t>
        </is>
      </c>
      <c r="G34" s="4" t="inlineStr">
        <is>
          <t>xianyu.publish_goods factory；apps/web/src/data/xianyu-publish-goods.ts；版本化xianyu/publish_goods recipe及locator fixtures；xianyu/publish_goods final分支；旧dispatch_post_to_xianyu适配；apps/web/src/views/XianyuPublishGoodsView.vue；api/xianyu-tasks.ts（新增）</t>
        </is>
      </c>
      <c r="H34" s="4" t="inlineStr">
        <is>
          <t>T078；T079；T080；T081｜原02表行83,84,85,86</t>
        </is>
      </c>
    </row>
    <row r="35" ht="130" customHeight="1">
      <c r="A35" s="4" t="inlineStr">
        <is>
          <t>P29</t>
        </is>
      </c>
      <c r="B35" s="4" t="inlineStr">
        <is>
          <t>擦亮、上下架与快速下架</t>
        </is>
      </c>
      <c r="C35" s="4" t="inlineStr">
        <is>
          <t>先共用一套item执行框架，再逐动作接后置状态；一轮设备会话覆盖四动作而非四次全流程交接。</t>
        </is>
      </c>
      <c r="D35" s="4" t="inlineStr">
        <is>
          <t>共用目标筛选/分页/逐项账本，分别实现擦亮、上架、下架及快速下架；每种kind保留独立语义。</t>
        </is>
      </c>
      <c r="E35" s="4" t="inlineStr">
        <is>
          <t>每个动作至少一例真实成功与主要错误；仅目标受影响；下架不删除；部分失败明确；已成功项不重做；计数与清单一致。</t>
        </is>
      </c>
      <c r="F35" s="4" t="inlineStr">
        <is>
          <t>同一批设备会话，四动作各留证据</t>
        </is>
      </c>
      <c r="G35" s="4" t="inlineStr">
        <is>
          <t>apps/web/src/views/XianyuSimpleTaskView.vue或XianyuExtraTaskView.vue（按operation映射）；新增版本化Recipe xianyu.polish；新增版本化Recipe xianyu.shelf_up；新增版本化Recipe xianyu.shelf_down；新增版本化Recipe xianyu.fast_shelf_down</t>
        </is>
      </c>
      <c r="H35" s="4" t="inlineStr">
        <is>
          <t>T082；T083；T084；T101｜原02表行87,88,89,106</t>
        </is>
      </c>
    </row>
    <row r="36" ht="130" customHeight="1">
      <c r="A36" s="4" t="inlineStr">
        <is>
          <t>P30</t>
        </is>
      </c>
      <c r="B36" s="4" t="inlineStr">
        <is>
          <t>商品、动态与留言安全删除</t>
        </is>
      </c>
      <c r="C36" s="4" t="inlineStr">
        <is>
          <t>先用明确授权的测试目标，验证目标稳定身份与确认；不可用真实用户数据作无确认破坏性试验。</t>
        </is>
      </c>
      <c r="D36" s="4" t="inlineStr">
        <is>
          <t>共享删除确认、稳定目标和逐项账本；商品/动态/留言使用各自适配器，不混同目标类型。</t>
        </is>
      </c>
      <c r="E36" s="4" t="inlineStr">
        <is>
          <t>只删明确确认目标；列表重排与分页不误删；无权限停止；恢复不跳错项；每种删除各有证据与审计。</t>
        </is>
      </c>
      <c r="F36" s="4" t="inlineStr">
        <is>
          <t>三类目标同批，但分别确认与取证</t>
        </is>
      </c>
      <c r="G36" s="4" t="inlineStr">
        <is>
          <t>apps/web/src/views/XianyuSimpleTaskView.vue或XianyuExtraTaskView.vue（按operation映射）；新增版本化Recipe xianyu.delete_goods；新增版本化Recipe xianyu.delete_feed；新增版本化Recipe xianyu.delete_comment</t>
        </is>
      </c>
      <c r="H36" s="4" t="inlineStr">
        <is>
          <t>T085；T094；T096｜原02表行90,99,101</t>
        </is>
      </c>
    </row>
    <row r="37" ht="130" customHeight="1">
      <c r="A37" s="4" t="inlineStr">
        <is>
          <t>P31</t>
        </is>
      </c>
      <c r="B37" s="4" t="inlineStr">
        <is>
          <t>签到与鱼币抵扣设置</t>
        </is>
      </c>
      <c r="C37" s="4" t="inlineStr">
        <is>
          <t>先验证当日签到读回，再验证抵扣设置及只打开模式；不把不同操作合成同一成功计数。</t>
        </is>
      </c>
      <c r="D37" s="4" t="inlineStr">
        <is>
          <t>同账号鱼币入口复用导航；签到与抵扣各自强类型参数、日期/目标幂等。</t>
        </is>
      </c>
      <c r="E37" s="4" t="inlineStr">
        <is>
          <t>已签到不重复；抵扣各有效枚举按原页面映射；OPEN_ONLY不改变设置；不误改价格；入口缺失明确受阻。</t>
        </is>
      </c>
      <c r="F37" s="4" t="inlineStr">
        <is>
          <t>同一鱼币页面会话，两个动作独立证据</t>
        </is>
      </c>
      <c r="G37" s="4" t="inlineStr">
        <is>
          <t>apps/web/src/views/XianyuSimpleTaskView.vue或XianyuExtraTaskView.vue（按operation映射）；新增版本化Recipe xianyu.coin_checkin；新增版本化Recipe xianyu.coin_discount</t>
        </is>
      </c>
      <c r="H37" s="4" t="inlineStr">
        <is>
          <t>T087；T088｜原02表行92,93</t>
        </is>
      </c>
    </row>
    <row r="38" ht="130" customHeight="1">
      <c r="A38" s="4" t="inlineStr">
        <is>
          <t>P32</t>
        </is>
      </c>
      <c r="B38" s="4" t="inlineStr">
        <is>
          <t>鱼币推广与预算防重</t>
        </is>
      </c>
      <c r="C38" s="4" t="inlineStr">
        <is>
          <t>先验证无提交的预算/套餐检查与变更拒绝，再对明确授权的最小目标执行一次真实推广。</t>
        </is>
      </c>
      <c r="D38" s="4" t="inlineStr">
        <is>
          <t>目标、套餐/时长、明确预算和逐项确认冻结后执行；复用提交门禁，不另造扣费账本。</t>
        </is>
      </c>
      <c r="E38" s="4" t="inlineStr">
        <is>
          <t>不超预算；扣费未知停止核对而非重试；套餐变化暂停重新确认；每项消耗和结果可审计。</t>
        </is>
      </c>
      <c r="F38" s="4" t="inlineStr">
        <is>
          <t>一批预算拒绝+授权提交；无预算授权则阻塞</t>
        </is>
      </c>
      <c r="G38" s="4" t="inlineStr">
        <is>
          <t>apps/web/src/views/XianyuSimpleTaskView.vue或XianyuExtraTaskView.vue（按operation映射）；新增版本化Recipe xianyu.coin_promote</t>
        </is>
      </c>
      <c r="H38" s="4" t="inlineStr">
        <is>
          <t>T089｜原02表行94</t>
        </is>
      </c>
    </row>
    <row r="39" ht="130" customHeight="1">
      <c r="A39" s="4" t="inlineStr">
        <is>
          <t>P33</t>
        </is>
      </c>
      <c r="B39" s="4" t="inlineStr">
        <is>
          <t>小刀设置与价格下调</t>
        </is>
      </c>
      <c r="C39" s="4" t="inlineStr">
        <is>
          <t>先按原field-map核对枚举，分别做一个设置与一个明确降价目标；不把小刀当百分比降价。</t>
        </is>
      </c>
      <c r="D39" s="4" t="inlineStr">
        <is>
          <t>小刀设置与降价保持两套命令语义，共用目标筛选和冻结旧新值。</t>
        </is>
      </c>
      <c r="E39" s="4" t="inlineStr">
        <is>
          <t>OPEN_ONLY不操作；小刀参数读回；降价遵守最低价；相同任务重试不二次降价；逐项旧新价可追溯。</t>
        </is>
      </c>
      <c r="F39" s="4" t="inlineStr">
        <is>
          <t>两类动作同批、独立断言</t>
        </is>
      </c>
      <c r="G39" s="4" t="inlineStr">
        <is>
          <t>apps/web/src/views/XianyuSimpleTaskView.vue或XianyuExtraTaskView.vue（按operation映射）；新增版本化Recipe xianyu.bargain_setting；新增版本化Recipe xianyu.price_cut</t>
        </is>
      </c>
      <c r="H39" s="4" t="inlineStr">
        <is>
          <t>T090；T091｜原02表行95,96</t>
        </is>
      </c>
    </row>
    <row r="40" ht="130" customHeight="1">
      <c r="A40" s="4" t="inlineStr">
        <is>
          <t>P34</t>
        </is>
      </c>
      <c r="B40" s="4" t="inlineStr">
        <is>
          <t>真实订单好评任务</t>
        </is>
      </c>
      <c r="C40" s="4" t="inlineStr">
        <is>
          <t>准备明确授权且可评价的真实订单；先核验目标范围，再单次评价取证。</t>
        </is>
      </c>
      <c r="D40" s="4" t="inlineStr">
        <is>
          <t>只针对授权账号真实已完成订单，冻结评价内容与数量并执行。</t>
        </is>
      </c>
      <c r="E40" s="4" t="inlineStr">
        <is>
          <t>结果可追溯到订单；已评价不重复；不默认发送互评推广私信；不可评价目标明确跳过。</t>
        </is>
      </c>
      <c r="F40" s="4" t="inlineStr">
        <is>
          <t>需具备可评价订单；无样本记资源阻塞</t>
        </is>
      </c>
      <c r="G40" s="4" t="inlineStr">
        <is>
          <t>apps/web/src/views/XianyuSimpleTaskView.vue或XianyuExtraTaskView.vue（按operation映射）；新增版本化Recipe xianyu.review_order</t>
        </is>
      </c>
      <c r="H40" s="4" t="inlineStr">
        <is>
          <t>T092｜原02表行97</t>
        </is>
      </c>
    </row>
    <row r="41" ht="130" customHeight="1">
      <c r="A41" s="4" t="inlineStr">
        <is>
          <t>P35</t>
        </is>
      </c>
      <c r="B41" s="4" t="inlineStr">
        <is>
          <t>标准权限内重启闲鱼</t>
        </is>
      </c>
      <c r="C41" s="4" t="inlineStr">
        <is>
          <t>复用已有launchTargetApp兜底，只补任务kind和结果语义；不要重写启动服务。</t>
        </is>
      </c>
      <c r="D41" s="4" t="inlineStr">
        <is>
          <t>通过系统允许的导航/重新拉起路径恢复闲鱼；返回实际能力与结果。</t>
        </is>
      </c>
      <c r="E41" s="4" t="inlineStr">
        <is>
          <t>实际重新拉起；没有force-stop权限不宣称强杀成功；不清账号数据；无法恢复可接管。</t>
        </is>
      </c>
      <c r="F41" s="4" t="inlineStr">
        <is>
          <t>与P29共用一次设备会话</t>
        </is>
      </c>
      <c r="G41" s="4" t="inlineStr">
        <is>
          <t>apps/web/src/views/XianyuSimpleTaskView.vue或XianyuExtraTaskView.vue（按operation映射）；新增版本化Recipe xianyu.relaunch_app</t>
        </is>
      </c>
      <c r="H41" s="4" t="inlineStr">
        <is>
          <t>T093｜原02表行98</t>
        </is>
      </c>
    </row>
    <row r="42" ht="130" customHeight="1">
      <c r="A42" s="4" t="inlineStr">
        <is>
          <t>P36</t>
        </is>
      </c>
      <c r="B42" s="4" t="inlineStr">
        <is>
          <t>消息删除与小红点处理</t>
        </is>
      </c>
      <c r="C42" s="4" t="inlineStr">
        <is>
          <t>先做只读/点红点分支，再用授权测试对话验证删除；不把两分支都映射为delete。</t>
        </is>
      </c>
      <c r="D42" s="4" t="inlineStr">
        <is>
          <t>messageAction区分删除对话框和点开小红点；共用范围、数量/轮次筛选。</t>
        </is>
      </c>
      <c r="E42" s="4" t="inlineStr">
        <is>
          <t>点红点绝不删除；删除须确认且只作用指定范围；不自动发送消息；结果按动作逐项记录。</t>
        </is>
      </c>
      <c r="F42" s="4" t="inlineStr">
        <is>
          <t>同一会话覆盖两分支</t>
        </is>
      </c>
      <c r="G42" s="4" t="inlineStr">
        <is>
          <t>apps/web/src/views/XianyuSimpleTaskView.vue或XianyuExtraTaskView.vue（按operation映射）；新增版本化Recipe xianyu.message_action</t>
        </is>
      </c>
      <c r="H42" s="4" t="inlineStr">
        <is>
          <t>T095｜原02表行100</t>
        </is>
      </c>
    </row>
    <row r="43" ht="130" customHeight="1">
      <c r="A43" s="4" t="inlineStr">
        <is>
          <t>P37</t>
        </is>
      </c>
      <c r="B43" s="4" t="inlineStr">
        <is>
          <t>草稿上架、编辑重发与快速重发</t>
        </is>
      </c>
      <c r="C43" s="4" t="inlineStr">
        <is>
          <t>基于P28现成发布能力加三个薄适配器；先做单项目标，再用同一批次验证逐项恢复。</t>
        </is>
      </c>
      <c r="D43" s="4" t="inlineStr">
        <is>
          <t>复用发布填写与提交框架，按kind适配草稿选择/编辑/快速路径，逐项记录旧新条目关系。</t>
        </is>
      </c>
      <c r="E43" s="4" t="inlineStr">
        <is>
          <t>不误发相邻草稿；未选择的字段不丢；重试不重复重发；快速路径同样防重；入口缺失不盲点。</t>
        </is>
      </c>
      <c r="F43" s="4" t="inlineStr">
        <is>
          <t>三条路径各取证；复用发布基座</t>
        </is>
      </c>
      <c r="G43" s="4" t="inlineStr">
        <is>
          <t>apps/web/src/views/XianyuSimpleTaskView.vue或XianyuExtraTaskView.vue（按operation映射）；新增版本化Recipe xianyu.publish_draft；新增版本化Recipe xianyu.edit_republish；新增版本化Recipe xianyu.fast_republish</t>
        </is>
      </c>
      <c r="H43" s="4" t="inlineStr">
        <is>
          <t>T097；T098；T100｜原02表行102,103,105</t>
        </is>
      </c>
    </row>
    <row r="44" ht="130" customHeight="1">
      <c r="A44" s="4" t="inlineStr">
        <is>
          <t>P38</t>
        </is>
      </c>
      <c r="B44" s="4" t="inlineStr">
        <is>
          <t>托管无忧卖加入、退出与条款确认</t>
        </is>
      </c>
      <c r="C44" s="4" t="inlineStr">
        <is>
          <t>先核查真实账号资格和入口，不直接点同意；仅在明确条款确认后进入写操作验证。</t>
        </is>
      </c>
      <c r="D44" s="4" t="inlineStr">
        <is>
          <t>按授权商品范围实现加入/退出/只打开，资格和条款检查与确认独立保留。</t>
        </is>
      </c>
      <c r="E44" s="4" t="inlineStr">
        <is>
          <t>不接受未知条款；状态真实读回；资格/条款变化暂停；无入口有版本与证据并保持阻塞。</t>
        </is>
      </c>
      <c r="F44" s="4" t="inlineStr">
        <is>
          <t>资格/条款是外部阻塞，不伪造通过</t>
        </is>
      </c>
      <c r="G44" s="4" t="inlineStr">
        <is>
          <t>apps/web/src/views/XianyuSimpleTaskView.vue或XianyuExtraTaskView.vue（按operation映射）；新增版本化Recipe xianyu.wuyoumai</t>
        </is>
      </c>
      <c r="H44" s="4" t="inlineStr">
        <is>
          <t>T099｜原02表行104</t>
        </is>
      </c>
    </row>
    <row r="45" ht="130" customHeight="1">
      <c r="A45" s="4" t="inlineStr">
        <is>
          <t>P39</t>
        </is>
      </c>
      <c r="B45" s="4" t="inlineStr">
        <is>
          <t>闲鱼发布、删除帖子可用性及实现</t>
        </is>
      </c>
      <c r="C45" s="4" t="inlineStr">
        <is>
          <t>在第一轮设备检查中提前做入口探测；后续实现才依赖命令/Recipe/定位器，避免到最后发现范围不可交付。</t>
        </is>
      </c>
      <c r="D45" s="4" t="inlineStr">
        <is>
          <t>先真机核查两入口并记录平台版本；存在则实现各自发布/删除闭环，不以旧retired标记排除。</t>
        </is>
      </c>
      <c r="E45" s="4" t="inlineStr">
        <is>
          <t>两项各有证据和状态；存在入口须真实成功并防重；不存在仅可记平台阻塞，不能自行算一期已完成。</t>
        </is>
      </c>
      <c r="F45" s="4" t="inlineStr">
        <is>
          <t>先探测；有入口才实现，缺入口记平台阻塞；不预设完成小时数。</t>
        </is>
      </c>
      <c r="G45" s="4" t="inlineStr">
        <is>
          <t>xy-tasks-02/07入口；目标版本页面采样；相应Recipe或能力报告</t>
        </is>
      </c>
      <c r="H45" s="4" t="inlineStr">
        <is>
          <t>T102｜原02表行107</t>
        </is>
      </c>
    </row>
    <row r="46" ht="130" customHeight="1">
      <c r="A46" s="4" t="inlineStr">
        <is>
          <t>P40</t>
        </is>
      </c>
      <c r="B46" s="4" t="inlineStr">
        <is>
          <t>违禁词规则与发布前检查</t>
        </is>
      </c>
      <c r="C46" s="4" t="inlineStr">
        <is>
          <t>先提供检测DTO和服务，再接现有编辑入口；保留用户原始文案，不静默篡改。</t>
        </is>
      </c>
      <c r="D46" s="4" t="inlineStr">
        <is>
          <t>词库规则后端化并版本化；编辑/发布入口共用检测，不依赖商品或帖子整个模块验收完成才开工。</t>
        </is>
      </c>
      <c r="E46" s="4" t="inlineStr">
        <is>
          <t>命中位置可定位；检测失败不当通过；版本可追溯；规则只是辅助检查，不承诺平台审核通过。</t>
        </is>
      </c>
      <c r="F46" s="4" t="inlineStr">
        <is>
          <t>API/浏览器验证</t>
        </is>
      </c>
      <c r="G46" s="4" t="inlineStr">
        <is>
          <t>xy-tasks-30；新增词库revision/scan API；复用现有相关页面</t>
        </is>
      </c>
      <c r="H46" s="4" t="inlineStr">
        <is>
          <t>T103｜原02表行108</t>
        </is>
      </c>
    </row>
    <row r="47" ht="130" customHeight="1">
      <c r="A47" s="4" t="inlineStr">
        <is>
          <t>P41</t>
        </is>
      </c>
      <c r="B47" s="4" t="inlineStr">
        <is>
          <t>订单模型、同步命令与查询页面</t>
        </is>
      </c>
      <c r="C47" s="4" t="inlineStr">
        <is>
          <t>先用fixture把接收/查询页面做通；随后接P42真实两页订单，不等采集Recipe全完才开发后端。</t>
        </is>
      </c>
      <c r="D47" s="4" t="inlineStr">
        <is>
          <t>账号归属、完整可见字段、全部/指定N、batch ingest幂等和查询/同步历史完整接口闭环。</t>
        </is>
      </c>
      <c r="E47" s="4" t="inlineStr">
        <is>
          <t>limit空为全部；N按稳定顺序去重；null+reason区别0；重复批次不重复；部分扫描显示complete=false/stopReason；敏感字段隔离。</t>
        </is>
      </c>
      <c r="F47" s="4" t="inlineStr">
        <is>
          <t>接口可先mock；整包需P42真实采集</t>
        </is>
      </c>
      <c r="G47" s="4" t="inlineStr">
        <is>
          <t>services/control-api/src/cloudctl_api/新增PlatformOrder/OrderSyncRun/OrderObservation及migration；新增order-sync-runs/create/batches/complete；xianyu.sync_orders factory；apps/web/src/订单管理现有入口或新增OrderList/OrderSyncHistory视图</t>
        </is>
      </c>
      <c r="H47" s="4" t="inlineStr">
        <is>
          <t>T105；T106；T108｜原02表行110,111,113</t>
        </is>
      </c>
    </row>
    <row r="48" ht="130" customHeight="1">
      <c r="A48" s="4" t="inlineStr">
        <is>
          <t>P42</t>
        </is>
      </c>
      <c r="B48" s="4" t="inlineStr">
        <is>
          <t>订单真机采集与断点续传</t>
        </is>
      </c>
      <c r="C48" s="4" t="inlineStr">
        <is>
          <t>先采两页小样本贯通batch ACK，再验证指定N与中途断网续传；无够用订单记样本阻塞。</t>
        </is>
      </c>
      <c r="D48" s="4" t="inlineStr">
        <is>
          <t>列表+详情遍历正常授权可见订单，结构化分批上报与断点续传，不仅上传截图。</t>
        </is>
      </c>
      <c r="E48" s="4" t="inlineStr">
        <is>
          <t>至少2页真实样本字段抽查一致；N准确；弱网重传无重复；登录失效暂停且部分结果不假全部。</t>
        </is>
      </c>
      <c r="F48" s="4" t="inlineStr">
        <is>
          <t>两页样本+断网同批；不造假订单</t>
        </is>
      </c>
      <c r="G48" s="4" t="inlineStr">
        <is>
          <t>版本包xianyu/sync_orders；TypedExtract primitives</t>
        </is>
      </c>
      <c r="H48" s="4" t="inlineStr">
        <is>
          <t>T107｜原02表行112</t>
        </is>
      </c>
    </row>
    <row r="49" ht="130" customHeight="1">
      <c r="A49" s="4" t="inlineStr">
        <is>
          <t>P43</t>
        </is>
      </c>
      <c r="B49" s="4" t="inlineStr">
        <is>
          <t>宝贝身份、历史快照与采集页面</t>
        </is>
      </c>
      <c r="C49" s="4" t="inlineStr">
        <is>
          <t>先落MetricValue及批次契约，页面用结构化fixture开发；真实值由P44接入后才能验收。</t>
        </is>
      </c>
      <c r="D49" s="4" t="inlineStr">
        <is>
          <t>商品身份归账号；每批指标追加历史快照；采集任务、最新值与历史查询接真实API。</t>
        </is>
      </c>
      <c r="E49" s="4" t="inlineStr">
        <is>
          <t>两次采集两个时间点；重复批次不新增快照；同标题不同账号不合并；缺值不填0；清本地缓存不丢。</t>
        </is>
      </c>
      <c r="F49" s="4" t="inlineStr">
        <is>
          <t>API可先行；最终需P44两次真实采集</t>
        </is>
      </c>
      <c r="G49" s="4" t="inlineStr">
        <is>
          <t>services/control-api/src/cloudctl_api/新增PlatformListing/ListingMetricSnapshot/ListingCollectRun；新增listing-collect-runs/batches；metric queries；apps/web/src/views/ListingInfoCollectView.vue；统计查询组件</t>
        </is>
      </c>
      <c r="H49" s="4" t="inlineStr">
        <is>
          <t>T109；T110；T112｜原02表行114,115,117</t>
        </is>
      </c>
    </row>
    <row r="50" ht="130" customHeight="1">
      <c r="A50" s="4" t="inlineStr">
        <is>
          <t>P44</t>
        </is>
      </c>
      <c r="B50" s="4" t="inlineStr">
        <is>
          <t>宝贝信息真实采集与恢复</t>
        </is>
      </c>
      <c r="C50" s="4" t="inlineStr">
        <is>
          <t>先采一条完整详情与两页列表；与P42共享上传原语但不混用字段解析。</t>
        </is>
      </c>
      <c r="D50" s="4" t="inlineStr">
        <is>
          <t>按真实版本遍历宝贝列表/详情，提取可见字段并批量回传；复用订单采集的上传/断点机制。</t>
        </is>
      </c>
      <c r="E50" s="4" t="inlineStr">
        <is>
          <t>值与手机逐字段抽样一致；缺失说明原因；分页和恢复不丢项；两次采集保留历史；不猜平台未显示的指标。</t>
        </is>
      </c>
      <c r="F50" s="4" t="inlineStr">
        <is>
          <t>真实采集两次，第二次同时验证恢复</t>
        </is>
      </c>
      <c r="G50" s="4" t="inlineStr">
        <is>
          <t>版本包xianyu/collect_listings；TypedExtract primitives</t>
        </is>
      </c>
      <c r="H50" s="4" t="inlineStr">
        <is>
          <t>T111｜原02表行116</t>
        </is>
      </c>
    </row>
    <row r="51" ht="130" customHeight="1">
      <c r="A51" s="4" t="inlineStr">
        <is>
          <t>P45</t>
        </is>
      </c>
      <c r="B51" s="4" t="inlineStr">
        <is>
          <t>长期保存与用户显式删除</t>
        </is>
      </c>
      <c r="C51" s="4" t="inlineStr">
        <is>
          <t>先检查已有保留/清理任务和引用计数，再把各数据域接入统一删除策略；不另造并行资产库。</t>
        </is>
      </c>
      <c r="D51" s="4" t="inlineStr">
        <is>
          <t>统一业务数据长期保存和手动删除规则；临时本机/上传垃圾与云端原件区分。</t>
        </is>
      </c>
      <c r="E51" s="4" t="inlineStr">
        <is>
          <t>默认清理不误删业务/历史/证据；引用资产受保护；删除有权限与审计；直播不默认持续录像。</t>
        </is>
      </c>
      <c r="F51" s="4" t="inlineStr">
        <is>
          <t>API/清理测试，无强制真机</t>
        </is>
      </c>
      <c r="G51" s="4" t="inlineStr">
        <is>
          <t>资源归档/删除服务；对象存储lifecycle；Web删除提示</t>
        </is>
      </c>
      <c r="H51" s="4" t="inlineStr">
        <is>
          <t>T113｜原02表行118</t>
        </is>
      </c>
    </row>
    <row r="52" ht="130" customHeight="1">
      <c r="A52" s="4" t="inlineStr">
        <is>
          <t>P46</t>
        </is>
      </c>
      <c r="B52" s="4" t="inlineStr">
        <is>
          <t>权限、并发与恢复故障回归</t>
        </is>
      </c>
      <c r="C52" s="4" t="inlineStr">
        <is>
          <t>启动时建立最小故障矩阵；每包补相关测试，最后仅跑跨域故障组合。</t>
        </is>
      </c>
      <c r="D52" s="4" t="inlineStr">
        <is>
          <t>测试夹具随各功能落地；汇总跨tenant、旧token、租约抢占、断网、升级和不确定提交用例。</t>
        </is>
      </c>
      <c r="E52" s="4" t="inlineStr">
        <is>
          <t>真实Postgres并发无双writer；旧凭据/命令拒绝；暂停不丢现场；无盲重发；日志无秘密；组件新增用例计入组件估时，本包仅跨模块矩阵与修复复验。</t>
        </is>
      </c>
      <c r="F52" s="4" t="inlineStr">
        <is>
          <t>自动故障注入为主，关键真实UI副作用补证</t>
        </is>
      </c>
      <c r="G52" s="4" t="inlineStr">
        <is>
          <t>tests/integration/security；APK contract tests；Web权限测试；tests/integration/concurrency；APK instrumentation；故障注入脚本</t>
        </is>
      </c>
      <c r="H52" s="4" t="inlineStr">
        <is>
          <t>T114；T115｜原02表行119,120</t>
        </is>
      </c>
    </row>
    <row r="53" ht="130" customHeight="1">
      <c r="A53" s="4" t="inlineStr">
        <is>
          <t>P47</t>
        </is>
      </c>
      <c r="B53" s="4" t="inlineStr">
        <is>
          <t>10台真机与100模拟容量验证</t>
        </is>
      </c>
      <c r="C53" s="4" t="inlineStr">
        <is>
          <t>后期扩展：单机主链路通过后再确认10台/SIM/服务器。当前不作为阻塞，也不得填通过或永久删除。</t>
        </is>
      </c>
      <c r="D53" s="4" t="inlineStr">
        <is>
          <t>分别设计设备在线、并发任务和观看负载；100模拟不替代10台实际设备。</t>
        </is>
      </c>
      <c r="E53" s="4" t="inlineStr">
        <is>
          <t>至少10台真实设备完成既定场景；100模拟数据单列；记录SIM/TURN可达和网络条件；不把百台在线当百路视频；无DB视频帧持续写入。</t>
        </is>
      </c>
      <c r="F53" s="4" t="inlineStr">
        <is>
          <t>当前非阻塞；10台真机硬门槛仍保留为后期扩展；模拟另表记录</t>
        </is>
      </c>
      <c r="G53" s="4" t="inlineStr">
        <is>
          <t>新增负载脚本；metrics仪表；部署容量报告</t>
        </is>
      </c>
      <c r="H53" s="4" t="inlineStr">
        <is>
          <t>T116｜原02表行121</t>
        </is>
      </c>
    </row>
    <row r="54" ht="130" customHeight="1">
      <c r="A54" s="4" t="inlineStr">
        <is>
          <t>P48</t>
        </is>
      </c>
      <c r="B54" s="4" t="inlineStr">
        <is>
          <t>诊断、公网部署与升级恢复</t>
        </is>
      </c>
      <c r="C54" s="4" t="inlineStr">
        <is>
          <t>与首轮主链路同时确认现有环境；先交公网/TURN最小环境，不等权限全矩阵与全部业务验收完成。</t>
        </is>
      </c>
      <c r="D54" s="4" t="inlineStr">
        <is>
          <t>先部署可联调的Control API/数据库/存储/TURN与脱敏诊断，后补整体验收的备份恢复和升级演练。</t>
        </is>
      </c>
      <c r="E54" s="4" t="inlineStr">
        <is>
          <t>干净环境可部署；公网SIM可用；失败定位到step；离线与暂停区分；备份真实恢复；保留tenant，不加二期注册计费。</t>
        </is>
      </c>
      <c r="F54" s="4" t="inlineStr">
        <is>
          <t>公网联调早交；最终部署/回滚集中一批</t>
        </is>
      </c>
      <c r="G54" s="4" t="inlineStr">
        <is>
          <t>control-api/APK结构化日志；任务详情；告警渠道复用站内通知；infra现有部署配置；.env.example；docs/phase1/deploy.md</t>
        </is>
      </c>
      <c r="H54" s="4" t="inlineStr">
        <is>
          <t>T118；T119｜原02表行123,124</t>
        </is>
      </c>
    </row>
    <row r="55" ht="130" customHeight="1">
      <c r="A55" s="4" t="inlineStr">
        <is>
          <t>P49</t>
        </is>
      </c>
      <c r="B55" s="4" t="inlineStr">
        <is>
          <t>Note9认证、31目录与一期交接</t>
        </is>
      </c>
      <c r="C55" s="4" t="inlineStr">
        <is>
          <t>当前只维护 OnePlus 9R 单机分阶段证据；Note9/10台推迟。最后跨模块交接不重跑120套手册。</t>
        </is>
      </c>
      <c r="D55" s="4" t="inlineStr">
        <is>
          <t>从启动起维护需求/目录证据；仅复用相关代码、契约和环境未变化的已通过用例。</t>
        </is>
      </c>
      <c r="E55" s="4" t="inlineStr">
        <is>
          <t>单机阶段不要求 Note9/10台通过。原 R01–R20、31目录、原120任务归属仍保留；平台不可用项保持阻塞。Note9/10台不得标已通过或永久删除，须在后期扩展中验收。</t>
        </is>
      </c>
      <c r="F55" s="4" t="inlineStr">
        <is>
          <t>当前 OnePlus 不得冒充 Note9；后期扩展验收不默认豁免</t>
        </is>
      </c>
      <c r="G55" s="4" t="inlineStr">
        <is>
          <t>apps/web/src/data/operations-catalog.ts；导航/状态标签；帮助内容；docs/phase1/device-certification.md；版本包fixtures和真机证据索引；docs/phase1/acceptance.md；本Excel进度/证据列；release manifest</t>
        </is>
      </c>
      <c r="H55" s="4" t="inlineStr">
        <is>
          <t>T104；T117；T120｜原02表行109,122,125</t>
        </is>
      </c>
    </row>
  </sheetData>
  <mergeCells count="2">
    <mergeCell ref="A1:H1"/>
    <mergeCell ref="A2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9" customWidth="1" min="3" max="3"/>
    <col width="53" customWidth="1" min="4" max="4"/>
    <col width="46" customWidth="1" min="5" max="5"/>
    <col width="45" customWidth="1" min="6" max="6"/>
    <col width="28" customWidth="1" min="7" max="7"/>
    <col width="36" customWidth="1" min="8" max="8"/>
  </cols>
  <sheetData>
    <row r="1" ht="38" customHeight="1">
      <c r="A1" s="11" t="inlineStr">
        <is>
          <t>03 / 从今天开始怎么推进</t>
        </is>
      </c>
      <c r="B1" s="1" t="n"/>
      <c r="C1" s="1" t="n"/>
      <c r="D1" s="1" t="n"/>
      <c r="E1" s="1" t="n"/>
      <c r="F1" s="1" t="n"/>
      <c r="G1" s="1" t="n"/>
      <c r="H1" s="1" t="n"/>
    </row>
    <row r="2" ht="24" customHeight="1">
      <c r="A2" s="15" t="inlineStr">
        <is>
          <t>S1–S5是启动阶段，不是天数或智能体轮数。以检查点证据推进；受阻操作停止并保留原卡，独立工作可继续。无进展检查与同错升级见08，不虚构总工期。</t>
        </is>
      </c>
      <c r="B2" s="1" t="n"/>
      <c r="C2" s="1" t="n"/>
      <c r="D2" s="1" t="n"/>
      <c r="E2" s="1" t="n"/>
      <c r="F2" s="1" t="n"/>
      <c r="G2" s="1" t="n"/>
      <c r="H2" s="1" t="n"/>
    </row>
    <row r="3" ht="24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 ht="34" customHeight="1">
      <c r="A5" s="17" t="inlineStr">
        <is>
          <t>类型</t>
        </is>
      </c>
      <c r="B5" s="17" t="inlineStr">
        <is>
          <t>时段 / 编号</t>
        </is>
      </c>
      <c r="C5" s="17" t="inlineStr">
        <is>
          <t>目标 / 规则</t>
        </is>
      </c>
      <c r="D5" s="17" t="inlineStr">
        <is>
          <t>具体动作 / 准入</t>
        </is>
      </c>
      <c r="E5" s="17" t="inlineStr">
        <is>
          <t>不能做 / 停止条件</t>
        </is>
      </c>
      <c r="F5" s="17" t="inlineStr">
        <is>
          <t>交付证据</t>
        </is>
      </c>
      <c r="G5" s="17" t="inlineStr">
        <is>
          <t>责任 / 资源</t>
        </is>
      </c>
      <c r="H5" s="17" t="inlineStr">
        <is>
          <t>口径</t>
        </is>
      </c>
    </row>
    <row r="6" ht="114" customHeight="1">
      <c r="A6" s="4" t="inlineStr">
        <is>
          <t>启动阶段</t>
        </is>
      </c>
      <c r="B6" s="4" t="inlineStr">
        <is>
          <t>S1</t>
        </is>
      </c>
      <c r="C6" s="4" t="inlineStr">
        <is>
          <t>先补恢复，不重新拆暂停</t>
        </is>
      </c>
      <c r="D6" s="4" t="inlineStr">
        <is>
          <t>P08：复用T026现场完成不含最终提交的暂停→人工→同task续跑；P09：检查UNKNOWN停止与已有账本。</t>
        </is>
      </c>
      <c r="E6" s="4" t="inlineStr">
        <is>
          <t>不重复做T001–T003；不在门禁未过时点击真实发布/扣费/删除。</t>
        </is>
      </c>
      <c r="F6" s="4" t="inlineStr">
        <is>
          <t>同taskId、检查点、pauseAck、队头不越过、拒绝旧epoch的记录。</t>
        </is>
      </c>
      <c r="G6" s="4" t="inlineStr">
        <is>
          <t>主执行者；现有开发机</t>
        </is>
      </c>
      <c r="H6" s="4" t="inlineStr">
        <is>
          <t>先交无最终提交的恢复证据，不要求本阶段整包通过</t>
        </is>
      </c>
    </row>
    <row r="7" ht="114" customHeight="1">
      <c r="A7" s="4" t="inlineStr">
        <is>
          <t>启动阶段</t>
        </is>
      </c>
      <c r="B7" s="4" t="inlineStr">
        <is>
          <t>S2</t>
        </is>
      </c>
      <c r="C7" s="4" t="inlineStr">
        <is>
          <t>真实身份与绑定迁移</t>
        </is>
      </c>
      <c r="D7" s="4" t="inlineStr">
        <is>
          <t>P02 + P03前半：核实已有session/权限；在可回滚环境验证002/003等当前缺失迁移和旧token撤销。</t>
        </is>
      </c>
      <c r="E7" s="4" t="inlineStr">
        <is>
          <t>不直接未经备份上生产；不把单测通过当已迁移。</t>
        </is>
      </c>
      <c r="F7" s="4" t="inlineStr">
        <is>
          <t>真实API响应、迁移版本、旧凭据拒绝记录。</t>
        </is>
      </c>
      <c r="G7" s="4" t="inlineStr">
        <is>
          <t>主执行者；可回滚数据库</t>
        </is>
      </c>
      <c r="H7" s="4" t="inlineStr">
        <is>
          <t>实际通过即推进；缺接口/环境明确记录</t>
        </is>
      </c>
    </row>
    <row r="8" ht="114" customHeight="1">
      <c r="A8" s="4" t="inlineStr">
        <is>
          <t>启动阶段</t>
        </is>
      </c>
      <c r="B8" s="4" t="inlineStr">
        <is>
          <t>S3</t>
        </is>
      </c>
      <c r="C8" s="4" t="inlineStr">
        <is>
          <t>收口契约与可用资源</t>
        </is>
      </c>
      <c r="D8" s="4" t="inlineStr">
        <is>
          <t>P03剩余 + P01核心 + P04探测：修允许列表/工厂映射；核对当前 OnePlus 9R、目标账号可用性。Note9/10台推迟为后期扩展。</t>
        </is>
      </c>
      <c r="E8" s="4" t="inlineStr">
        <is>
          <t>不等定位器全集才写任务工厂；不把 OnePlus 当 Note9；推迟≠已通过。</t>
        </is>
      </c>
      <c r="F8" s="4" t="inlineStr">
        <is>
          <t>三端同fixture；资源缺口清单；真实版本报告。</t>
        </is>
      </c>
      <c r="G8" s="4" t="inlineStr">
        <is>
          <t>主执行者；用户/设备管理者配合</t>
        </is>
      </c>
      <c r="H8" s="4" t="inlineStr">
        <is>
          <t>资源探测启动即可做，不另增开发任务</t>
        </is>
      </c>
    </row>
    <row r="9" ht="114" customHeight="1">
      <c r="A9" s="4" t="inlineStr">
        <is>
          <t>启动阶段</t>
        </is>
      </c>
      <c r="B9" s="4" t="inlineStr">
        <is>
          <t>S4</t>
        </is>
      </c>
      <c r="C9" s="4" t="inlineStr">
        <is>
          <t>让真实任务能被观察</t>
        </is>
      </c>
      <c r="D9" s="4" t="inlineStr">
        <is>
          <t>P04剩余 + P05核心：核实004迁移，贯通创建、查询、事件、暂停/取消状态。</t>
        </is>
      </c>
      <c r="E9" s="4" t="inlineStr">
        <is>
          <t>不新增第二套队列/状态源；不靠前端缓存伪造成功。</t>
        </is>
      </c>
      <c r="F9" s="4" t="inlineStr">
        <is>
          <t>网页与服务端同一个taskId、结构化结果、刷新历史。</t>
        </is>
      </c>
      <c r="G9" s="4" t="inlineStr">
        <is>
          <t>主执行者</t>
        </is>
      </c>
      <c r="H9" s="4" t="inlineStr">
        <is>
          <t>先交真实任务可见证据，完整UI随后接通</t>
        </is>
      </c>
    </row>
    <row r="10" ht="114" customHeight="1">
      <c r="A10" s="4" t="inlineStr">
        <is>
          <t>启动阶段</t>
        </is>
      </c>
      <c r="B10" s="4" t="inlineStr">
        <is>
          <t>S5</t>
        </is>
      </c>
      <c r="C10" s="4" t="inlineStr">
        <is>
          <t>打通生产领取入口，不绕发布门禁</t>
        </is>
      </c>
      <c r="D10" s="4" t="inlineStr">
        <is>
          <t>P07接线与主链路联调；P06记录Temporal最小触发接线点。若缺合法已发布Recipe，先插入P14最小人工发布交付。</t>
        </is>
      </c>
      <c r="E10" s="4" t="inlineStr">
        <is>
          <t>不关闭签名、不伪造发布或真机成功；阶段不是交付时限。</t>
        </is>
      </c>
      <c r="F10" s="4" t="inlineStr">
        <is>
          <t>CommandV1真实领取/拒绝记录；缺少发布包时明确阻塞及下一步。</t>
        </is>
      </c>
      <c r="G10" s="4" t="inlineStr">
        <is>
          <t>主执行者</t>
        </is>
      </c>
      <c r="H10" s="4" t="inlineStr">
        <is>
          <t>按实际缺口继续，不追加一轮8步骤</t>
        </is>
      </c>
    </row>
    <row r="11" ht="114" customHeight="1">
      <c r="A11" s="4" t="inlineStr">
        <is>
          <t>门禁</t>
        </is>
      </c>
      <c r="B11" s="4" t="inlineStr">
        <is>
          <t>G0</t>
        </is>
      </c>
      <c r="C11" s="4" t="inlineStr">
        <is>
          <t>存量继承</t>
        </is>
      </c>
      <c r="D11" s="4" t="inlineStr">
        <is>
          <t>T001–T003沿用，T026已有证据复用；核实分支和缺失证据即可。</t>
        </is>
      </c>
      <c r="E11" s="4" t="inlineStr">
        <is>
          <t>沿用完成≠本次重新验收；合包不得把部分完成自动变全完成。</t>
        </is>
      </c>
      <c r="F11" s="4" t="inlineStr">
        <is>
          <t>原T/新P映射；commit/证据路径补齐。</t>
        </is>
      </c>
      <c r="G11" s="4" t="inlineStr">
        <is>
          <t>功能包负责人+验收人</t>
        </is>
      </c>
      <c r="H11" s="4" t="inlineStr">
        <is>
          <t>原计划约束保留；本版集中管理</t>
        </is>
      </c>
    </row>
    <row r="12" ht="114" customHeight="1">
      <c r="A12" s="4" t="inlineStr">
        <is>
          <t>门禁</t>
        </is>
      </c>
      <c r="B12" s="4" t="inlineStr">
        <is>
          <t>G1</t>
        </is>
      </c>
      <c r="C12" s="4" t="inlineStr">
        <is>
          <t>真实API与权限</t>
        </is>
      </c>
      <c r="D12" s="4" t="inlineStr">
        <is>
          <t>真实身份、tenant/设备隔离、401/409/500失败停止；API缺失明确失败。</t>
        </is>
      </c>
      <c r="E12" s="4" t="inlineStr">
        <is>
          <t>禁止生产静默localStorage/mock回退；不能用UI权限代替后端鉴权。</t>
        </is>
      </c>
      <c r="F12" s="4" t="inlineStr">
        <is>
          <t>真实API及负向测试；旧凭据/越权均拒绝。</t>
        </is>
      </c>
      <c r="G12" s="4" t="inlineStr">
        <is>
          <t>功能包负责人+验收人</t>
        </is>
      </c>
      <c r="H12" s="4" t="inlineStr">
        <is>
          <t>原计划约束保留；本版集中管理</t>
        </is>
      </c>
    </row>
    <row r="13" ht="114" customHeight="1">
      <c r="A13" s="4" t="inlineStr">
        <is>
          <t>门禁</t>
        </is>
      </c>
      <c r="B13" s="4" t="inlineStr">
        <is>
          <t>G2</t>
        </is>
      </c>
      <c r="C13" s="4" t="inlineStr">
        <is>
          <t>设备单writer与安全恢复</t>
        </is>
      </c>
      <c r="D13" s="4" t="inlineStr">
        <is>
          <t>任何真实自动化/远控先验证单写锁、失租停止、暂停握手、检查点与绑定/版本核对。</t>
        </is>
      </c>
      <c r="E13" s="4" t="inlineStr">
        <is>
          <t>禁止AUTO与REMOTE并发写；禁止未核对页面就续跑；取消不可恢复。</t>
        </is>
      </c>
      <c r="F13" s="4" t="inlineStr">
        <is>
          <t>Postgres并发、旧epoch拒绝、同task恢复与队头阻塞。</t>
        </is>
      </c>
      <c r="G13" s="4" t="inlineStr">
        <is>
          <t>功能包负责人+验收人</t>
        </is>
      </c>
      <c r="H13" s="4" t="inlineStr">
        <is>
          <t>原计划约束保留；本版集中管理</t>
        </is>
      </c>
    </row>
    <row r="14" ht="114" customHeight="1">
      <c r="A14" s="4" t="inlineStr">
        <is>
          <t>门禁</t>
        </is>
      </c>
      <c r="B14" s="4" t="inlineStr">
        <is>
          <t>G3</t>
        </is>
      </c>
      <c r="C14" s="4" t="inlineStr">
        <is>
          <t>不可逆副作用准入</t>
        </is>
      </c>
      <c r="D14" s="4" t="inlineStr">
        <is>
          <t>发布/扣费/删除先确认目标与参数、写journal；UNKNOWN保持暂停/核对；成功项不重做。</t>
        </is>
      </c>
      <c r="E14" s="4" t="inlineStr">
        <is>
          <t>不可作为日后补测试的可选项；不得无证据重发或超预算。</t>
        </is>
      </c>
      <c r="F14" s="4" t="inlineStr">
        <is>
          <t>每类动作主路径+提交后断网/丢ACK；预算/目标变化拒绝。</t>
        </is>
      </c>
      <c r="G14" s="4" t="inlineStr">
        <is>
          <t>功能包负责人+验收人</t>
        </is>
      </c>
      <c r="H14" s="4" t="inlineStr">
        <is>
          <t>原计划约束保留；本版集中管理</t>
        </is>
      </c>
    </row>
    <row r="15" ht="114" customHeight="1">
      <c r="A15" s="4" t="inlineStr">
        <is>
          <t>门禁</t>
        </is>
      </c>
      <c r="B15" s="4" t="inlineStr">
        <is>
          <t>G4</t>
        </is>
      </c>
      <c r="C15" s="4" t="inlineStr">
        <is>
          <t>版本发布与固定</t>
        </is>
      </c>
      <c r="D15" s="4" t="inlineStr">
        <is>
          <t>Recipe需合法签名、验证并由用户手动发布；空闲激活，运行/暂停任务固定原版本。</t>
        </is>
      </c>
      <c r="E15" s="4" t="inlineStr">
        <is>
          <t>不自动发版；不为联调关签名；APK升级遵守系统确认。</t>
        </is>
      </c>
      <c r="F15" s="4" t="inlineStr">
        <is>
          <t>手动发布、篡改拒绝、暂停中升级/回退证据。</t>
        </is>
      </c>
      <c r="G15" s="4" t="inlineStr">
        <is>
          <t>功能包负责人+验收人</t>
        </is>
      </c>
      <c r="H15" s="4" t="inlineStr">
        <is>
          <t>原计划约束保留；本版集中管理</t>
        </is>
      </c>
    </row>
    <row r="16" ht="114" customHeight="1">
      <c r="A16" s="4" t="inlineStr">
        <is>
          <t>门禁</t>
        </is>
      </c>
      <c r="B16" s="4" t="inlineStr">
        <is>
          <t>G5</t>
        </is>
      </c>
      <c r="C16" s="4" t="inlineStr">
        <is>
          <t>SIM公网实时视频</t>
        </is>
      </c>
      <c r="D16" s="4" t="inlineStr">
        <is>
          <t>真实视频、强制TURN relay、长时观看与重连；记录网络条件、授权和设备切换。</t>
        </is>
      </c>
      <c r="E16" s="4" t="inlineStr">
        <is>
          <t>截图轮询不能充当实时投屏；百台在线不等于百路视频。</t>
        </is>
      </c>
      <c r="F16" s="4" t="inlineStr">
        <is>
          <t>30分钟观看记录；实际fps/延迟及条件，不把设计默认当硬SLA。</t>
        </is>
      </c>
      <c r="G16" s="4" t="inlineStr">
        <is>
          <t>功能包负责人+验收人</t>
        </is>
      </c>
      <c r="H16" s="4" t="inlineStr">
        <is>
          <t>原计划约束保留；本版集中管理</t>
        </is>
      </c>
    </row>
    <row r="17" ht="114" customHeight="1">
      <c r="A17" s="4" t="inlineStr">
        <is>
          <t>门禁</t>
        </is>
      </c>
      <c r="B17" s="4" t="inlineStr">
        <is>
          <t>G6</t>
        </is>
      </c>
      <c r="C17" s="4" t="inlineStr">
        <is>
          <t>数据完整与保留</t>
        </is>
      </c>
      <c r="D17" s="4" t="inlineStr">
        <is>
          <t>完整字段/资产引用/账号归属；null与0、部分与全部区分；长期保存，手动删除有审计。</t>
        </is>
      </c>
      <c r="E17" s="4" t="inlineStr">
        <is>
          <t>禁止模拟结果入真实业务；禁止默认到期清业务原件；禁止引用误删。</t>
        </is>
      </c>
      <c r="F17" s="4" t="inlineStr">
        <is>
          <t>真实采集/导入/跨浏览器回读、历史快照、保留与删除测试。</t>
        </is>
      </c>
      <c r="G17" s="4" t="inlineStr">
        <is>
          <t>功能包负责人+验收人</t>
        </is>
      </c>
      <c r="H17" s="4" t="inlineStr">
        <is>
          <t>原计划约束保留；本版集中管理</t>
        </is>
      </c>
    </row>
    <row r="18" ht="114" customHeight="1">
      <c r="A18" s="4" t="inlineStr">
        <is>
          <t>门禁</t>
        </is>
      </c>
      <c r="B18" s="4" t="inlineStr">
        <is>
          <t>G7</t>
        </is>
      </c>
      <c r="C18" s="4" t="inlineStr">
        <is>
          <t>真实设备与范围</t>
        </is>
      </c>
      <c r="D18" s="4" t="inlineStr">
        <is>
          <t>当前验收：OnePlus 9R b0644fb5 单机分阶段通过。Note9实际认证、至少10台真机改为后期扩展。31目录全部有归属/状态；平台缺口明确。</t>
        </is>
      </c>
      <c r="E18" s="4" t="inlineStr">
        <is>
          <t>单机通过不能替代 Note9/10台；100模拟不能替代真机。缺入口不能由执行者自行豁免。推迟≠已通过或永久删除。</t>
        </is>
      </c>
      <c r="F18" s="4" t="inlineStr">
        <is>
          <t>当前机设备/SIM/平台版本与单机 taskId 证据；Note9/10台证据推迟。范围变更已由用户于2026-09-08确认。</t>
        </is>
      </c>
      <c r="G18" s="4" t="inlineStr">
        <is>
          <t>功能包负责人+验收人</t>
        </is>
      </c>
      <c r="H18" s="4" t="inlineStr">
        <is>
          <t>原计划约束保留；本版集中管理</t>
        </is>
      </c>
    </row>
    <row r="19" ht="114" customHeight="1">
      <c r="A19" s="4" t="inlineStr">
        <is>
          <t>门禁</t>
        </is>
      </c>
      <c r="B19" s="4" t="inlineStr">
        <is>
          <t>G8</t>
        </is>
      </c>
      <c r="C19" s="4" t="inlineStr">
        <is>
          <t>一期最终交付</t>
        </is>
      </c>
      <c r="D19" s="4" t="inlineStr">
        <is>
          <t>全部一期包达到验收门槛，G1–G7齐备；原120项/20需求/31目录可追溯；部署恢复演练成功。</t>
        </is>
      </c>
      <c r="E19" s="4" t="inlineStr">
        <is>
          <t>核心通过、代码完成、平台阻塞都不能冒充一期已完成。</t>
        </is>
      </c>
      <c r="F19" s="4" t="inlineStr">
        <is>
          <t>交接演示、支持矩阵、未决项/变更记录、证据索引。</t>
        </is>
      </c>
      <c r="G19" s="4" t="inlineStr">
        <is>
          <t>功能包负责人+验收人</t>
        </is>
      </c>
      <c r="H19" s="4" t="inlineStr">
        <is>
          <t>原计划约束保留；本版集中管理</t>
        </is>
      </c>
    </row>
    <row r="20" ht="114" customHeight="1">
      <c r="A20" s="4" t="inlineStr">
        <is>
          <t>执行规则</t>
        </is>
      </c>
      <c r="B20" s="4" t="inlineStr">
        <is>
          <t>R-01</t>
        </is>
      </c>
      <c r="C20" s="4" t="inlineStr">
        <is>
          <t>只读当前卡</t>
        </is>
      </c>
      <c r="D20" s="4" t="inlineStr">
        <is>
          <t>常规只读当前01行、当前02卡及08规则；缺契约时只查相关04行。09由执行者追加一行，10模板按需填一次。</t>
        </is>
      </c>
      <c r="E20" s="4" t="inlineStr">
        <is>
          <t>同一问题不要另建第二套任务清单。</t>
        </is>
      </c>
      <c r="F20" s="4" t="inlineStr">
        <is>
          <t>回写本轮产出、证据、阻塞和下一步；不重复维护多套任务状态。</t>
        </is>
      </c>
      <c r="G20" s="4" t="inlineStr">
        <is>
          <t>主执行者</t>
        </is>
      </c>
      <c r="H20" s="4" t="inlineStr">
        <is>
          <t>本次计划建议</t>
        </is>
      </c>
    </row>
    <row r="21" ht="114" customHeight="1">
      <c r="A21" s="4" t="inlineStr">
        <is>
          <t>执行规则</t>
        </is>
      </c>
      <c r="B21" s="4" t="inlineStr">
        <is>
          <t>R-02</t>
        </is>
      </c>
      <c r="C21" s="4" t="inlineStr">
        <is>
          <t>开工与验收分开</t>
        </is>
      </c>
      <c r="D21" s="4" t="inlineStr">
        <is>
          <t>MUST只要求调用所需接口/数据结构通过检查；不等待前置整包验收。INTEG列仅用于选择接通场景，不递归完成关联包。</t>
        </is>
      </c>
      <c r="E21" s="4" t="inlineStr">
        <is>
          <t>不能删除真依赖来美化关键路径；不能把联调依赖改名后就不验。</t>
        </is>
      </c>
      <c r="F21" s="4" t="inlineStr">
        <is>
          <t>当前接口解锁按10模板写明样例、验证命令、预期输出和证据；缺契约交高级模型裁决。</t>
        </is>
      </c>
      <c r="G21" s="4" t="inlineStr">
        <is>
          <t>主执行者</t>
        </is>
      </c>
      <c r="H21" s="4" t="inlineStr">
        <is>
          <t>本次计划建议</t>
        </is>
      </c>
    </row>
    <row r="22" ht="114" customHeight="1">
      <c r="A22" s="4" t="inlineStr">
        <is>
          <t>执行规则</t>
        </is>
      </c>
      <c r="B22" s="4" t="inlineStr">
        <is>
          <t>R-03</t>
        </is>
      </c>
      <c r="C22" s="4" t="inlineStr">
        <is>
          <t>mock边界</t>
        </is>
      </c>
      <c r="D22" s="4" t="inlineStr">
        <is>
          <t>后端、页面、工厂可用固定fixture并行开发；mock环境显式配置；尽早接真实API。</t>
        </is>
      </c>
      <c r="E22" s="4" t="inlineStr">
        <is>
          <t>mock只能证明开发/契约，不证明实际发布、真机或一期完成。</t>
        </is>
      </c>
      <c r="F22" s="4" t="inlineStr">
        <is>
          <t>核心通过与验收通过分开标记。</t>
        </is>
      </c>
      <c r="G22" s="4" t="inlineStr">
        <is>
          <t>主执行者</t>
        </is>
      </c>
      <c r="H22" s="4" t="inlineStr">
        <is>
          <t>本次计划建议</t>
        </is>
      </c>
    </row>
    <row r="23" ht="114" customHeight="1">
      <c r="A23" s="4" t="inlineStr">
        <is>
          <t>执行规则</t>
        </is>
      </c>
      <c r="B23" s="4" t="inlineStr">
        <is>
          <t>R-04</t>
        </is>
      </c>
      <c r="C23" s="4" t="inlineStr">
        <is>
          <t>并行按接口与资源隔离</t>
        </is>
      </c>
      <c r="D23" s="4" t="inlineStr">
        <is>
          <t>默认1个本地执行通道；接口冻结且文件/迁移/设备无冲突时可并行。各模块自测通过即结束开发，待相关接口齐后接通验证。</t>
        </is>
      </c>
      <c r="E23" s="4" t="inlineStr">
        <is>
          <t>同文件族、同迁移或同一台真机写操作不能并行；增加Agent数量不直接推算提速。</t>
        </is>
      </c>
      <c r="F23" s="4" t="inlineStr">
        <is>
          <t>正在做的P编号、阻塞归属、下一可做包。</t>
        </is>
      </c>
      <c r="G23" s="4" t="inlineStr">
        <is>
          <t>主执行者</t>
        </is>
      </c>
      <c r="H23" s="4" t="inlineStr">
        <is>
          <t>本次计划建议</t>
        </is>
      </c>
    </row>
    <row r="24" ht="114" customHeight="1">
      <c r="A24" s="4" t="inlineStr">
        <is>
          <t>执行规则</t>
        </is>
      </c>
      <c r="B24" s="4" t="inlineStr">
        <is>
          <t>R-05</t>
        </is>
      </c>
      <c r="C24" s="4" t="inlineStr">
        <is>
          <t>按证据推进与无进展止损</t>
        </is>
      </c>
      <c r="D24" s="4" t="inlineStr">
        <is>
          <t>一轮完成当前检查点或交出可定位阻塞。同一错误两轮实质修复仍失败，升级诊断；主动排查连续无新增证据达到01列I阈值时检查原因。</t>
        </is>
      </c>
      <c r="E24" s="4" t="inlineStr">
        <is>
          <t>阈值不是完工时限；正常长编译/测试不强杀。不要为规避阈值换错误名字或自动重开同样会话。</t>
        </is>
      </c>
      <c r="F24" s="4" t="inlineStr">
        <is>
          <t>保留失败签名、已尝试差异、日志和下一判断；超时不自动通过、不无限重试。</t>
        </is>
      </c>
      <c r="G24" s="4" t="inlineStr">
        <is>
          <t>主执行者</t>
        </is>
      </c>
      <c r="H24" s="4" t="inlineStr">
        <is>
          <t>本次计划建议</t>
        </is>
      </c>
    </row>
    <row r="25" ht="114" customHeight="1">
      <c r="A25" s="4" t="inlineStr">
        <is>
          <t>执行规则</t>
        </is>
      </c>
      <c r="B25" s="4" t="inlineStr">
        <is>
          <t>R-06</t>
        </is>
      </c>
      <c r="C25" s="4" t="inlineStr">
        <is>
          <t>共享错误批次</t>
        </is>
      </c>
      <c r="D25" s="4" t="inlineStr">
        <is>
          <t>每包主路径+主要错误就地验证；同一设备会话可测多个相关动作，但动作各自留结果。 G0–G8是集中门禁，不是每包9步骤；同版本未变更的通用门禁证据可跨包引用。</t>
        </is>
      </c>
      <c r="E25" s="4" t="inlineStr">
        <is>
          <t>不把所有失败分支都推到最后；特别是G1–G4必须随开发保留。</t>
        </is>
      </c>
      <c r="F25" s="4" t="inlineStr">
        <is>
          <t>完整故障矩阵交P46，组件已有证据复用不重复计工。</t>
        </is>
      </c>
      <c r="G25" s="4" t="inlineStr">
        <is>
          <t>主执行者</t>
        </is>
      </c>
      <c r="H25" s="4" t="inlineStr">
        <is>
          <t>本次计划建议</t>
        </is>
      </c>
    </row>
    <row r="26" ht="114" customHeight="1">
      <c r="A26" s="4" t="inlineStr">
        <is>
          <t>执行规则</t>
        </is>
      </c>
      <c r="B26" s="4" t="inlineStr">
        <is>
          <t>R-07</t>
        </is>
      </c>
      <c r="C26" s="4" t="inlineStr">
        <is>
          <t>完成与进度继承</t>
        </is>
      </c>
      <c r="D26" s="4" t="inlineStr">
        <is>
          <t>原4个已完成按证据继承；18待联调不当重写；T025无证据、审阅/任务冲突明确保留。</t>
        </is>
      </c>
      <c r="E26" s="4" t="inlineStr">
        <is>
          <t>不根据任务合并比例推算项目完成率；已修Bug≠整功能完成。</t>
        </is>
      </c>
      <c r="F26" s="4" t="inlineStr">
        <is>
          <t>旧状态只读；新模块/功能状态分开记录，核实后更新下一检查点。</t>
        </is>
      </c>
      <c r="G26" s="4" t="inlineStr">
        <is>
          <t>主执行者</t>
        </is>
      </c>
      <c r="H26" s="4" t="inlineStr">
        <is>
          <t>本次计划建议</t>
        </is>
      </c>
    </row>
    <row r="27" ht="114" customHeight="1">
      <c r="A27" s="4" t="inlineStr">
        <is>
          <t>执行规则</t>
        </is>
      </c>
      <c r="B27" s="4" t="inlineStr">
        <is>
          <t>R-08</t>
        </is>
      </c>
      <c r="C27" s="4" t="inlineStr">
        <is>
          <t>计划滚动但不扩范围</t>
        </is>
      </c>
      <c r="D27" s="4" t="inlineStr">
        <is>
          <t>每完成3个可见交付，用09实测校准模型选择和检查阈值；按相似任务比较，不重估虚构的人力产能。</t>
        </is>
      </c>
      <c r="E27" s="4" t="inlineStr">
        <is>
          <t>不按累计耗时推算剩余完成时间；不重新开启全仓审阅或追加二期功能。</t>
        </is>
      </c>
      <c r="F27" s="4" t="inlineStr">
        <is>
          <t>维护状态/证据/下一步；09追加本轮数据，06自动汇总。</t>
        </is>
      </c>
      <c r="G27" s="4" t="inlineStr">
        <is>
          <t>主执行者</t>
        </is>
      </c>
      <c r="H27" s="4" t="inlineStr">
        <is>
          <t>本次计划建议</t>
        </is>
      </c>
    </row>
    <row r="28" ht="114" customHeight="1">
      <c r="A28" s="4" t="inlineStr">
        <is>
          <t>资源阻塞</t>
        </is>
      </c>
      <c r="B28" s="4" t="inlineStr">
        <is>
          <t>RES-01</t>
        </is>
      </c>
      <c r="C28" s="4" t="inlineStr">
        <is>
          <t>Note9与SIM</t>
        </is>
      </c>
      <c r="D28" s="4" t="inlineStr">
        <is>
          <t>Note9 认证推迟到单机主链路通过之后；当前不阻塞 P04/P49 单机工作。SIM 公网仍按当前机条件记录。</t>
        </is>
      </c>
      <c r="E28" s="4" t="inlineStr">
        <is>
          <t>OnePlus 9R 为当前验收机，不是 Note9 替代认证。推迟≠已通过。</t>
        </is>
      </c>
      <c r="F28" s="4" t="inlineStr">
        <is>
          <t>设备报告/可用时间/资源负责人。</t>
        </is>
      </c>
      <c r="G28" s="4" t="inlineStr">
        <is>
          <t>用户/资源管理者 + 主执行者</t>
        </is>
      </c>
      <c r="H28" s="4" t="inlineStr">
        <is>
          <t>2026-09-08 用户确认推迟为后期扩展</t>
        </is>
      </c>
    </row>
    <row r="29" ht="114" customHeight="1">
      <c r="A29" s="4" t="inlineStr">
        <is>
          <t>资源阻塞</t>
        </is>
      </c>
      <c r="B29" s="4" t="inlineStr">
        <is>
          <t>RES-02</t>
        </is>
      </c>
      <c r="C29" s="4" t="inlineStr">
        <is>
          <t>至少10台真实设备</t>
        </is>
      </c>
      <c r="D29" s="4" t="inlineStr">
        <is>
          <t>至少10台真机与100模拟容量验证推迟到单机主链路通过之后；当前不阻塞。</t>
        </is>
      </c>
      <c r="E29" s="4" t="inlineStr">
        <is>
          <t>不能用模拟数量顶替真实设备数量；推迟≠已通过或永久删除。</t>
        </is>
      </c>
      <c r="F29" s="4" t="inlineStr">
        <is>
          <t>真机列表与SIM/TURN连通记录。</t>
        </is>
      </c>
      <c r="G29" s="4" t="inlineStr">
        <is>
          <t>用户/资源管理者 + 主执行者</t>
        </is>
      </c>
      <c r="H29" s="4" t="inlineStr">
        <is>
          <t>2026-09-08 用户确认推迟为后期扩展</t>
        </is>
      </c>
    </row>
    <row r="30" ht="114" customHeight="1">
      <c r="A30" s="4" t="inlineStr">
        <is>
          <t>资源阻塞</t>
        </is>
      </c>
      <c r="B30" s="4" t="inlineStr">
        <is>
          <t>RES-03</t>
        </is>
      </c>
      <c r="C30" s="4" t="inlineStr">
        <is>
          <t>测试账号与真实目标</t>
        </is>
      </c>
      <c r="D30" s="4" t="inlineStr">
        <is>
          <t>准备两平台合法账号、两页以上订单、可评价订单、允许操作的测试商品/草稿/对话。</t>
        </is>
      </c>
      <c r="E30" s="4" t="inlineStr">
        <is>
          <t>不制造假交易/订单；不可逆试验必须明确授权。</t>
        </is>
      </c>
      <c r="F30" s="4" t="inlineStr">
        <is>
          <t>样本覆盖、授权范围；缺样本记资源阻塞。</t>
        </is>
      </c>
      <c r="G30" s="4" t="inlineStr">
        <is>
          <t>用户/资源管理者 + 主执行者</t>
        </is>
      </c>
      <c r="H30" s="4" t="inlineStr">
        <is>
          <t>源文件未证明资源齐备</t>
        </is>
      </c>
    </row>
    <row r="31" ht="114" customHeight="1">
      <c r="A31" s="4" t="inlineStr">
        <is>
          <t>资源阻塞</t>
        </is>
      </c>
      <c r="B31" s="4" t="inlineStr">
        <is>
          <t>RES-04</t>
        </is>
      </c>
      <c r="C31" s="4" t="inlineStr">
        <is>
          <t>预算与条款授权</t>
        </is>
      </c>
      <c r="D31" s="4" t="inlineStr">
        <is>
          <t>推广预算/删除目标/托管条款由操作者明确确认；变化则重新确认。</t>
        </is>
      </c>
      <c r="E31" s="4" t="inlineStr">
        <is>
          <t>执行者不能自行决定花费、删数据或接受新条款。</t>
        </is>
      </c>
      <c r="F31" s="4" t="inlineStr">
        <is>
          <t>授权记录及参数快照。</t>
        </is>
      </c>
      <c r="G31" s="4" t="inlineStr">
        <is>
          <t>用户/资源管理者 + 主执行者</t>
        </is>
      </c>
      <c r="H31" s="4" t="inlineStr">
        <is>
          <t>源文件未证明资源齐备</t>
        </is>
      </c>
    </row>
    <row r="32" ht="114" customHeight="1">
      <c r="A32" s="4" t="inlineStr">
        <is>
          <t>资源阻塞</t>
        </is>
      </c>
      <c r="B32" s="4" t="inlineStr">
        <is>
          <t>RES-05</t>
        </is>
      </c>
      <c r="C32" s="4" t="inlineStr">
        <is>
          <t>公网与数据环境</t>
        </is>
      </c>
      <c r="D32" s="4" t="inlineStr">
        <is>
          <t>确认Control API/数据库/对象存储/TURN及备份/迁移环境；已有资源先复用。</t>
        </is>
      </c>
      <c r="E32" s="4" t="inlineStr">
        <is>
          <t>不擅自购买基础设施；不在无备份状态下直接改生产库。</t>
        </is>
      </c>
      <c r="F32" s="4" t="inlineStr">
        <is>
          <t>连通、迁移、备份恢复证据。</t>
        </is>
      </c>
      <c r="G32" s="4" t="inlineStr">
        <is>
          <t>用户/资源管理者 + 主执行者</t>
        </is>
      </c>
      <c r="H32" s="4" t="inlineStr">
        <is>
          <t>源文件未证明资源齐备</t>
        </is>
      </c>
    </row>
    <row r="33" ht="114" customHeight="1">
      <c r="A33" s="4" t="inlineStr">
        <is>
          <t>资源阻塞</t>
        </is>
      </c>
      <c r="B33" s="4" t="inlineStr">
        <is>
          <t>RES-06</t>
        </is>
      </c>
      <c r="C33" s="4" t="inlineStr">
        <is>
          <t>平台入口可用性</t>
        </is>
      </c>
      <c r="D33" s="4" t="inlineStr">
        <is>
          <t>P39与P38的资格/入口探测提前；记录实际平台版本。</t>
        </is>
      </c>
      <c r="E33" s="4" t="inlineStr">
        <is>
          <t>旧仓库retired字样不是平台当前不可用证明。</t>
        </is>
      </c>
      <c r="F33" s="4" t="inlineStr">
        <is>
          <t>支持则实现；不支持保留阻塞，等待用户明确范围决策。</t>
        </is>
      </c>
      <c r="G33" s="4" t="inlineStr">
        <is>
          <t>用户/资源管理者 + 主执行者</t>
        </is>
      </c>
      <c r="H33" s="4" t="inlineStr">
        <is>
          <t>源文件未证明资源齐备</t>
        </is>
      </c>
    </row>
    <row r="34" ht="114" customHeight="1">
      <c r="A34" s="4" t="inlineStr">
        <is>
          <t>交付节奏</t>
        </is>
      </c>
      <c r="B34" s="4" t="inlineStr">
        <is>
          <t>M1</t>
        </is>
      </c>
      <c r="C34" s="4" t="inlineStr">
        <is>
          <t>先结束当前卡点</t>
        </is>
      </c>
      <c r="D34" s="4" t="inlineStr">
        <is>
          <t>2026-09-10：P14单机版本生命周期通过，P08同task恢复已补证。下一步核对P09/G3故障矩阵，可按READY安排P15。不得扩记其他包完成。</t>
        </is>
      </c>
      <c r="E34" s="4" t="inlineStr">
        <is>
          <t>未过G3不开放不可逆自动执行。</t>
        </is>
      </c>
      <c r="F34" s="4" t="inlineStr">
        <is>
          <t>P14：T041 网页入口、签名 Recipe claim 固定/执行、暂停及运行版本固定、下载中断保旧版、回退与版本审计证据；P08：恢复任务/暂停队列证据。真实副作用仍受 G3 约束。</t>
        </is>
      </c>
      <c r="G34" s="4" t="inlineStr">
        <is>
          <t>主执行者/验收人</t>
        </is>
      </c>
      <c r="H34" s="4" t="inlineStr">
        <is>
          <t>条件驱动，不把分组编号当全局串行</t>
        </is>
      </c>
    </row>
    <row r="35" ht="114" customHeight="1">
      <c r="A35" s="4" t="inlineStr">
        <is>
          <t>交付节奏</t>
        </is>
      </c>
      <c r="B35" s="4" t="inlineStr">
        <is>
          <t>M2</t>
        </is>
      </c>
      <c r="C35" s="4" t="inlineStr">
        <is>
          <t>让已有代码真正连起来</t>
        </is>
      </c>
      <c r="D35" s="4" t="inlineStr">
        <is>
          <t>P01–P07与P14最小发布接通；P48提供早期环境。先接口就绪，不强迫所有包先整包验收。</t>
        </is>
      </c>
      <c r="E35" s="4" t="inlineStr">
        <is>
          <t>不能拿旧steps继续充当新Recipe主链路。</t>
        </is>
      </c>
      <c r="F35" s="4" t="inlineStr">
        <is>
          <t>网页创建→真实领取→本地执行→结构化结果。</t>
        </is>
      </c>
      <c r="G35" s="4" t="inlineStr">
        <is>
          <t>主执行者/验收人</t>
        </is>
      </c>
      <c r="H35" s="4" t="inlineStr">
        <is>
          <t>条件驱动，不把分组编号当全局串行</t>
        </is>
      </c>
    </row>
    <row r="36" ht="114" customHeight="1">
      <c r="A36" s="4" t="inlineStr">
        <is>
          <t>交付节奏</t>
        </is>
      </c>
      <c r="B36" s="4" t="inlineStr">
        <is>
          <t>M3</t>
        </is>
      </c>
      <c r="C36" s="4" t="inlineStr">
        <is>
          <t>一条真实发布与一条远控</t>
        </is>
      </c>
      <c r="D36" s="4" t="inlineStr">
        <is>
          <t>发布线P16/P17/P21/P28；视频线P10/P11/P12。单人依次、多人按代码边界分工。</t>
        </is>
      </c>
      <c r="E36" s="4" t="inlineStr">
        <is>
          <t>不能以最小字段发布代替全部字段验收。</t>
        </is>
      </c>
      <c r="F36" s="4" t="inlineStr">
        <is>
          <t>最小闲鱼直发/草稿；SIM实时看屏→接管→恢复。</t>
        </is>
      </c>
      <c r="G36" s="4" t="inlineStr">
        <is>
          <t>主执行者/验收人</t>
        </is>
      </c>
      <c r="H36" s="4" t="inlineStr">
        <is>
          <t>条件驱动，不把分组编号当全局串行</t>
        </is>
      </c>
    </row>
    <row r="37" ht="114" customHeight="1">
      <c r="A37" s="4" t="inlineStr">
        <is>
          <t>交付节奏</t>
        </is>
      </c>
      <c r="B37" s="4" t="inlineStr">
        <is>
          <t>M4</t>
        </is>
      </c>
      <c r="C37" s="4" t="inlineStr">
        <is>
          <t>补齐一期全部业务</t>
        </is>
      </c>
      <c r="D37" s="4" t="inlineStr">
        <is>
          <t>P19/P20/P22–P27、P29–P44等补齐；字段/目录矩阵逐项销项。</t>
        </is>
      </c>
      <c r="E37" s="4" t="inlineStr">
        <is>
          <t>不可默认删闲鱼帖子、视频、水印、订单或10台要求。</t>
        </is>
      </c>
      <c r="F37" s="4" t="inlineStr">
        <is>
          <t>31目录、两平台、资源池与真实采集全范围记录。</t>
        </is>
      </c>
      <c r="G37" s="4" t="inlineStr">
        <is>
          <t>主执行者/验收人</t>
        </is>
      </c>
      <c r="H37" s="4" t="inlineStr">
        <is>
          <t>条件驱动，不把分组编号当全局串行</t>
        </is>
      </c>
    </row>
    <row r="38" ht="114" customHeight="1">
      <c r="A38" s="4" t="inlineStr">
        <is>
          <t>交付节奏</t>
        </is>
      </c>
      <c r="B38" s="4" t="inlineStr">
        <is>
          <t>M5</t>
        </is>
      </c>
      <c r="C38" s="4" t="inlineStr">
        <is>
          <t>只做跨模块收口</t>
        </is>
      </c>
      <c r="D38" s="4" t="inlineStr">
        <is>
          <t>P45–P49 最终矩阵、Note9/10台、容量、部署恢复、交接改为后期扩展收口；复用同版本有效组件证据。单机阶段不把这些当当前阻塞。</t>
        </is>
      </c>
      <c r="E38" s="4" t="inlineStr">
        <is>
          <t>不重新跑120套手册；不把阻塞项自动标已完成。</t>
        </is>
      </c>
      <c r="F38" s="4" t="inlineStr">
        <is>
          <t>G1–G8全部满足；支持矩阵与剩余项清楚。</t>
        </is>
      </c>
      <c r="G38" s="4" t="inlineStr">
        <is>
          <t>主执行者/验收人</t>
        </is>
      </c>
      <c r="H38" s="4" t="inlineStr">
        <is>
          <t>条件驱动，不把分组编号当全局串行</t>
        </is>
      </c>
    </row>
    <row r="39" ht="114" customHeight="1">
      <c r="A39" s="4" t="inlineStr">
        <is>
          <t>多智能体</t>
        </is>
      </c>
      <c r="B39" s="4" t="inlineStr">
        <is>
          <t>MA-01</t>
        </is>
      </c>
      <c r="C39" s="4" t="inlineStr">
        <is>
          <t>Root + 3 子智能体</t>
        </is>
      </c>
      <c r="D39" s="4" t="inlineStr">
        <is>
          <t>Root 负责 DAG、合同、锁、合并、计划和最终验收；最多三个写入子智能体负责互斥组件。</t>
        </is>
      </c>
      <c r="E39" s="4" t="inlineStr">
        <is>
          <t>没有独立 worktree 时不得多写者共享目录；不能按 Agent 数量直接除工期。</t>
        </is>
      </c>
      <c r="F39" s="4" t="inlineStr">
        <is>
          <t>每个子任务的 branch SHA、owned-path diff、测试和 evidence。</t>
        </is>
      </c>
      <c r="G39" s="4" t="inlineStr">
        <is>
          <t>Root Worker</t>
        </is>
      </c>
      <c r="H39" s="4" t="inlineStr">
        <is>
          <t>2026-09-09 并行协议</t>
        </is>
      </c>
    </row>
    <row r="40" ht="114" customHeight="1">
      <c r="A40" s="4" t="inlineStr">
        <is>
          <t>多智能体</t>
        </is>
      </c>
      <c r="B40" s="4" t="inlineStr">
        <is>
          <t>MA-02</t>
        </is>
      </c>
      <c r="C40" s="4" t="inlineStr">
        <is>
          <t>READY 最大无冲突集合</t>
        </is>
      </c>
      <c r="D40" s="4" t="inlineStr">
        <is>
          <t>合同/fixture 可用、写集不重叠、锁空闲、无契约争议且验收命令已声明才派发；同轮先全部 spawn 再 wait_all。</t>
        </is>
      </c>
      <c r="E40" s="4" t="inlineStr">
        <is>
          <t>INTEG 包未整包完成不阻止独立开发；spawn 后立即逐个 await 属于伪并行。</t>
        </is>
      </c>
      <c r="F40" s="4" t="inlineStr">
        <is>
          <t>调度状态 READY/RUNNING/WAIT_CONTRACT/WAIT_LOCK/VERIFY/MERGE/INTEGRATED。</t>
        </is>
      </c>
      <c r="G40" s="4" t="inlineStr">
        <is>
          <t>Root Worker</t>
        </is>
      </c>
      <c r="H40" s="4" t="inlineStr">
        <is>
          <t>docs/phase1/multi-agent-execution.md</t>
        </is>
      </c>
    </row>
    <row r="41" ht="114" customHeight="1">
      <c r="A41" s="4" t="inlineStr">
        <is>
          <t>多智能体</t>
        </is>
      </c>
      <c r="B41" s="4" t="inlineStr">
        <is>
          <t>MA-03</t>
        </is>
      </c>
      <c r="C41" s="4" t="inlineStr">
        <is>
          <t>共同基线与路径所有权</t>
        </is>
      </c>
      <c r="D41" s="4" t="inlineStr">
        <is>
          <t>审核当前改动后建立可恢复基线；每个写入 Agent 从同一 SHA 建独立 branch/worktree，只改 owned_paths。</t>
        </is>
      </c>
      <c r="E41" s="4" t="inlineStr">
        <is>
          <t>禁止 git add -A；缓存、APK、SQLite/WAL、运行转储、密钥和无关证据不得混入基线。</t>
        </is>
      </c>
      <c r="F41" s="4" t="inlineStr">
        <is>
          <t>基线 SHA、分支、owned/read-only/forbidden paths。</t>
        </is>
      </c>
      <c r="G41" s="4" t="inlineStr">
        <is>
          <t>Root + 各路径 owner</t>
        </is>
      </c>
      <c r="H41" s="4" t="inlineStr">
        <is>
          <t>当前仓库为脏工作区</t>
        </is>
      </c>
    </row>
    <row r="42" ht="114" customHeight="1">
      <c r="A42" s="4" t="inlineStr">
        <is>
          <t>多智能体</t>
        </is>
      </c>
      <c r="B42" s="4" t="inlineStr">
        <is>
          <t>MA-04</t>
        </is>
      </c>
      <c r="C42" s="4" t="inlineStr">
        <is>
          <t>独占资源锁</t>
        </is>
      </c>
      <c r="D42" s="4" t="inlineStr">
        <is>
          <t>CONTRACT、DB_MIGRATION、MERGE、DEVICE:b0644fb5、DEPLOY:seoul、RELEASE:P14、SIDE_EFFECT:G3 均为单 owner。</t>
        </is>
      </c>
      <c r="E42" s="4" t="inlineStr">
        <is>
          <t>子智能体不得各自部署、重启服务、发真机任务、发布/回退 Recipe 或执行真实副作用。</t>
        </is>
      </c>
      <c r="F42" s="4" t="inlineStr">
        <is>
          <t>锁持有者、授权、taskId/versionId/hash、停止条件。</t>
        </is>
      </c>
      <c r="G42" s="4" t="inlineStr">
        <is>
          <t>Root/用户/验收者</t>
        </is>
      </c>
      <c r="H42" s="4" t="inlineStr">
        <is>
          <t>安全门禁</t>
        </is>
      </c>
    </row>
    <row r="43" ht="114" customHeight="1">
      <c r="A43" s="4" t="inlineStr">
        <is>
          <t>多智能体</t>
        </is>
      </c>
      <c r="B43" s="4" t="inlineStr">
        <is>
          <t>MA-05</t>
        </is>
      </c>
      <c r="C43" s="4" t="inlineStr">
        <is>
          <t>并行开发、受控合并</t>
        </is>
      </c>
      <c r="D43" s="4" t="inlineStr">
        <is>
          <t>P14 WEB/CONTROL/ANDROID 同时开发；合并队列为合同/Control→Android→Web→统一生成客户端→跨端测试。</t>
        </is>
      </c>
      <c r="E43" s="4" t="inlineStr">
        <is>
          <t>语义冲突退回文件 owner；Root 不用 ours/theirs 机械裁决。</t>
        </is>
      </c>
      <c r="F43" s="4" t="inlineStr">
        <is>
          <t>同一 integration SHA 的后端、Android、Web 结果。</t>
        </is>
      </c>
      <c r="G43" s="4" t="inlineStr">
        <is>
          <t>Root Worker</t>
        </is>
      </c>
      <c r="H43" s="4" t="inlineStr">
        <is>
          <t>合并串行不等于开发串行</t>
        </is>
      </c>
    </row>
    <row r="44" ht="114" customHeight="1">
      <c r="A44" s="4" t="inlineStr">
        <is>
          <t>多智能体</t>
        </is>
      </c>
      <c r="B44" s="4" t="inlineStr">
        <is>
          <t>MA-06</t>
        </is>
      </c>
      <c r="C44" s="4" t="inlineStr">
        <is>
          <t>等待时空槽回填</t>
        </is>
      </c>
      <c r="D44" s="4" t="inlineStr">
        <is>
          <t>P14 任一路 WAIT_LOCK/WAIT_AUTH/WAIT_HARDWARE 时，从 P08 软件证据、P16/P40、P48 只读环境等 READY 池补位。</t>
        </is>
      </c>
      <c r="E44" s="4" t="inlineStr">
        <is>
          <t>P08/P14 真机共用设备锁；P15 仍等待 P14；不得因补位扩展二期范围。</t>
        </is>
      </c>
      <c r="F44" s="4" t="inlineStr">
        <is>
          <t>被阻塞项、解除条件、补位 work item。</t>
        </is>
      </c>
      <c r="G44" s="4" t="inlineStr">
        <is>
          <t>Root Worker</t>
        </is>
      </c>
      <c r="H44" s="4" t="inlineStr">
        <is>
          <t>避免全局等待</t>
        </is>
      </c>
    </row>
  </sheetData>
  <mergeCells count="2">
    <mergeCell ref="A1:H1"/>
    <mergeCell ref="A2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14" customWidth="1" min="3" max="3"/>
    <col width="12" customWidth="1" min="4" max="4"/>
    <col width="9" customWidth="1" min="5" max="5"/>
    <col width="19" customWidth="1" min="6" max="6"/>
    <col width="54" customWidth="1" min="7" max="7"/>
    <col width="42" customWidth="1" min="8" max="8"/>
    <col width="44" customWidth="1" min="9" max="9"/>
    <col width="44" customWidth="1" min="10" max="10"/>
    <col width="29" customWidth="1" min="11" max="11"/>
    <col width="45" customWidth="1" min="12" max="12"/>
  </cols>
  <sheetData>
    <row r="1" ht="38" customHeight="1">
      <c r="A1" s="11" t="inlineStr">
        <is>
          <t>04 / 120项原任务 → 新闭环包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4" customHeight="1">
      <c r="A2" s="15" t="inlineStr">
        <is>
          <t>只读迁移账本：完整保留原任务状态、进度证据、验收与契约。原表头“所有任务未实施”与D/N列不一致，本版采用D/N逐行记录；审阅表差异另行提示。每个旧T只有一个主归属，协同验收见新卡片。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4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34" customHeight="1">
      <c r="A5" s="17" t="inlineStr">
        <is>
          <t>原T</t>
        </is>
      </c>
      <c r="B5" s="17" t="inlineStr">
        <is>
          <t>原任务名称</t>
        </is>
      </c>
      <c r="C5" s="17" t="inlineStr">
        <is>
          <t>原状态</t>
        </is>
      </c>
      <c r="D5" s="17" t="inlineStr">
        <is>
          <t>原负责人</t>
        </is>
      </c>
      <c r="E5" s="17" t="inlineStr">
        <is>
          <t>新包</t>
        </is>
      </c>
      <c r="F5" s="17" t="inlineStr">
        <is>
          <t>新包状态</t>
        </is>
      </c>
      <c r="G5" s="17" t="inlineStr">
        <is>
          <t>原进度 / 证据（原文）</t>
        </is>
      </c>
      <c r="H5" s="17" t="inlineStr">
        <is>
          <t>迁移提醒</t>
        </is>
      </c>
      <c r="I5" s="17" t="inlineStr">
        <is>
          <t>原验收（原文）</t>
        </is>
      </c>
      <c r="J5" s="17" t="inlineStr">
        <is>
          <t>原契约（原文）</t>
        </is>
      </c>
      <c r="K5" s="17" t="inlineStr">
        <is>
          <t>原前置（只留痕）</t>
        </is>
      </c>
      <c r="L5" s="17" t="inlineStr">
        <is>
          <t>原表位置 / 来源</t>
        </is>
      </c>
    </row>
    <row r="6" ht="110" customHeight="1">
      <c r="A6" s="4" t="inlineStr">
        <is>
          <t>T001</t>
        </is>
      </c>
      <c r="B6" s="4" t="inlineStr">
        <is>
          <t>P0｜锁定代码并跑真实基线</t>
        </is>
      </c>
      <c r="C6" s="4" t="inlineStr">
        <is>
          <t>已完成</t>
        </is>
      </c>
      <c r="D6" s="4" t="inlineStr">
        <is>
          <t>AI Agent</t>
        </is>
      </c>
      <c r="E6" s="4" t="inlineStr">
        <is>
          <t>P00</t>
        </is>
      </c>
      <c r="F6" s="4">
        <f>'01_闭环计划'!D6</f>
        <v/>
      </c>
      <c r="G6" s="4" t="inlineStr">
        <is>
          <t>未提供证据记录</t>
        </is>
      </c>
      <c r="H6" s="4" t="inlineStr">
        <is>
          <t>沿用完成；仅补缺失证据，不重做。</t>
        </is>
      </c>
      <c r="I6" s="4" t="inlineStr">
        <is>
          <t>验收1：干净环境能复跑同一SHA
验收2：失败项逐条入01代码审阅
验收3：不把mock或编译成功写成真机发布成功</t>
        </is>
      </c>
      <c r="J6" s="4" t="inlineStr">
        <is>
          <t>基线失败与后续回归分开记录；本次没有实际运行上述工程命令。</t>
        </is>
      </c>
      <c r="K6" s="4" t="inlineStr">
        <is>
          <t>无</t>
        </is>
      </c>
      <c r="L6" s="4" t="inlineStr">
        <is>
          <t>原工作簿/02_实施任务!A6:O6；S31、S01</t>
        </is>
      </c>
    </row>
    <row r="7" ht="110" customHeight="1">
      <c r="A7" s="4" t="inlineStr">
        <is>
          <t>T002</t>
        </is>
      </c>
      <c r="B7" s="4" t="inlineStr">
        <is>
          <t>P0｜全仓覆盖和问题补录</t>
        </is>
      </c>
      <c r="C7" s="4" t="inlineStr">
        <is>
          <t>已完成</t>
        </is>
      </c>
      <c r="D7" s="4" t="inlineStr">
        <is>
          <t>AI Agent</t>
        </is>
      </c>
      <c r="E7" s="4" t="inlineStr">
        <is>
          <t>P00</t>
        </is>
      </c>
      <c r="F7" s="4">
        <f>'01_闭环计划'!D6</f>
        <v/>
      </c>
      <c r="G7" s="4" t="inlineStr">
        <is>
          <t>未提供证据记录</t>
        </is>
      </c>
      <c r="H7" s="4" t="inlineStr">
        <is>
          <t>沿用完成；仅补缺失证据，不重做。</t>
        </is>
      </c>
      <c r="I7" s="4" t="inlineStr">
        <is>
          <t>验收1：每个一级目录都有审阅状态
验收2：新旧Bug可追溯
验收3：一期外代码变更有明确原因</t>
        </is>
      </c>
      <c r="J7" s="4" t="inlineStr">
        <is>
          <t>覆盖率指已审阅文件/已执行测试，不能用“全仓无报错”替代业务验收。</t>
        </is>
      </c>
      <c r="K7" s="4" t="inlineStr">
        <is>
          <t>T001</t>
        </is>
      </c>
      <c r="L7" s="4" t="inlineStr">
        <is>
          <t>原工作簿/02_实施任务!A7:O7；S31、S01</t>
        </is>
      </c>
    </row>
    <row r="8" ht="110" customHeight="1">
      <c r="A8" s="4" t="inlineStr">
        <is>
          <t>T003</t>
        </is>
      </c>
      <c r="B8" s="4" t="inlineStr">
        <is>
          <t>P0｜写分层ADR并确定复用边界</t>
        </is>
      </c>
      <c r="C8" s="4" t="inlineStr">
        <is>
          <t>已完成</t>
        </is>
      </c>
      <c r="D8" s="4" t="inlineStr">
        <is>
          <t>AI Agent</t>
        </is>
      </c>
      <c r="E8" s="4" t="inlineStr">
        <is>
          <t>P00</t>
        </is>
      </c>
      <c r="F8" s="4">
        <f>'01_闭环计划'!D6</f>
        <v/>
      </c>
      <c r="G8" s="4" t="inlineStr">
        <is>
          <t>未提供证据记录</t>
        </is>
      </c>
      <c r="H8" s="4" t="inlineStr">
        <is>
          <t>沿用完成；仅补缺失证据，不重做。</t>
        </is>
      </c>
      <c r="I8" s="4" t="inlineStr">
        <is>
          <t>验收1：同一设备不存在两套独立写锁
验收2：有新旧功能开关及回滚路线
验收3：所有任务能定位唯一状态来源</t>
        </is>
      </c>
      <c r="J8" s="4" t="inlineStr">
        <is>
          <t>旧PublishPlan/Target/提交账本不得另造并行发布事实；Edge仅开发诊断。</t>
        </is>
      </c>
      <c r="K8" s="4" t="inlineStr">
        <is>
          <t>T001</t>
        </is>
      </c>
      <c r="L8" s="4" t="inlineStr">
        <is>
          <t>原工作簿/02_实施任务!A8:O8；S31、S02、S03</t>
        </is>
      </c>
    </row>
    <row r="9" ht="110" customHeight="1">
      <c r="A9" s="4" t="inlineStr">
        <is>
          <t>T004</t>
        </is>
      </c>
      <c r="B9" s="4" t="inlineStr">
        <is>
          <t>P1｜逐字段盘点及31项闲鱼目录覆盖</t>
        </is>
      </c>
      <c r="C9" s="4" t="inlineStr">
        <is>
          <t>待联调</t>
        </is>
      </c>
      <c r="D9" s="4" t="inlineStr">
        <is>
          <t>ZCode</t>
        </is>
      </c>
      <c r="E9" s="4" t="inlineStr">
        <is>
          <t>P01</t>
        </is>
      </c>
      <c r="F9" s="4">
        <f>'01_闭环计划'!D7</f>
        <v/>
      </c>
      <c r="G9" s="4" t="inlineStr">
        <is>
          <t>2026-09-06 field-map.json 已生成；31项闲鱼目录保留原ID；发布/删除帖子 AVAILABILITY_PENDING。Web 101 tests passed。</t>
        </is>
      </c>
      <c r="H9" s="4" t="inlineStr">
        <is>
          <t>复用已有代码/测试；按新包验收，未提供的证据不推定通过。</t>
        </is>
      </c>
      <c r="I9" s="4" t="inlineStr">
        <is>
          <t>验收1：31项均有处理归属
验收2：没有开启但未消费的字段
验收3：旧blocked不作为永不实现的依据</t>
        </is>
      </c>
      <c r="J9" s="4" t="inlineStr">
        <is>
          <t>字段仅存库不算发布实现；平台不支持的字段须保留数据并给出明确不支持原因。</t>
        </is>
      </c>
      <c r="K9" s="4" t="inlineStr">
        <is>
          <t>T001</t>
        </is>
      </c>
      <c r="L9" s="4" t="inlineStr">
        <is>
          <t>原工作簿/02_实施任务!A9:O9；S20、S18、S17</t>
        </is>
      </c>
    </row>
    <row r="10" ht="110" customHeight="1">
      <c r="A10" s="4" t="inlineStr">
        <is>
          <t>T005</t>
        </is>
      </c>
      <c r="B10" s="4" t="inlineStr">
        <is>
          <t>P1｜生产API真相与真实登录态</t>
        </is>
      </c>
      <c r="C10" s="4" t="inlineStr">
        <is>
          <t>待联调</t>
        </is>
      </c>
      <c r="D10" s="4" t="inlineStr">
        <is>
          <t>ZCode</t>
        </is>
      </c>
      <c r="E10" s="4" t="inlineStr">
        <is>
          <t>P02</t>
        </is>
      </c>
      <c r="F10" s="4">
        <f>'01_闭环计划'!D8</f>
        <v/>
      </c>
      <c r="G10" s="4" t="inlineStr">
        <is>
          <t>2026-09-06 生产 404/501 不再写 localStorage；session 从 /api/v1/session 加载。product-catalog-fail-closed.spec.ts 通过。</t>
        </is>
      </c>
      <c r="H10" s="4" t="inlineStr">
        <is>
          <t>复用已有代码/测试；按新包验收，未提供的证据不推定通过。</t>
        </is>
      </c>
      <c r="I10" s="4" t="inlineStr">
        <is>
          <t>验收1：断API保存失败且无业务本地新增
验收2：低权限不能远控/发版
验收3：清空localStorage不丢真实业务数据</t>
        </is>
      </c>
      <c r="J10" s="4" t="inlineStr">
        <is>
          <t>UI权限只改善体验，后端必须独立鉴权；生产API缺失不能自动写本地。</t>
        </is>
      </c>
      <c r="K10" s="4" t="inlineStr">
        <is>
          <t>T001、T003</t>
        </is>
      </c>
      <c r="L10" s="4" t="inlineStr">
        <is>
          <t>原工作簿/02_实施任务!A10:O10；S08、S09、S24</t>
        </is>
      </c>
    </row>
    <row r="11" ht="110" customHeight="1">
      <c r="A11" s="4" t="inlineStr">
        <is>
          <t>T006</t>
        </is>
      </c>
      <c r="B11" s="4" t="inlineStr">
        <is>
          <t>P1｜统一设备/文件/版本发布权限</t>
        </is>
      </c>
      <c r="C11" s="4" t="inlineStr">
        <is>
          <t>待联调</t>
        </is>
      </c>
      <c r="D11" s="4" t="inlineStr">
        <is>
          <t>ZCode</t>
        </is>
      </c>
      <c r="E11" s="4" t="inlineStr">
        <is>
          <t>P02</t>
        </is>
      </c>
      <c r="F11" s="4">
        <f>'01_闭环计划'!D8</f>
        <v/>
      </c>
      <c r="G11" s="4" t="inlineStr">
        <is>
          <t>2026-09-06 新增 device.control/task.create/recipe.publish/data.delete；test_phase1_permissions.py 通过。</t>
        </is>
      </c>
      <c r="H11" s="4" t="inlineStr">
        <is>
          <t>复用已有代码/测试；按新包验收，未提供的证据不推定通过。</t>
        </is>
      </c>
      <c r="I11" s="4" t="inlineStr">
        <is>
          <t>验收1：跨tenant请求404/403
验收2：设备A不能读B任务/素材
验收3：发版必须操作者身份及权限</t>
        </is>
      </c>
      <c r="J11" s="4" t="inlineStr">
        <is>
          <t>一期单租户运行也必须过跨租户测试；后续二期不需重建所有主键。</t>
        </is>
      </c>
      <c r="K11" s="4" t="inlineStr">
        <is>
          <t>T003</t>
        </is>
      </c>
      <c r="L11" s="4" t="inlineStr">
        <is>
          <t>原工作簿/02_实施任务!A11:O11；S02、S04、S05</t>
        </is>
      </c>
    </row>
    <row r="12" ht="110" customHeight="1">
      <c r="A12" s="4" t="inlineStr">
        <is>
          <t>T007</t>
        </is>
      </c>
      <c r="B12" s="4" t="inlineStr">
        <is>
          <t>P1｜设备注册、重绑与凭据撤销</t>
        </is>
      </c>
      <c r="C12" s="4" t="inlineStr">
        <is>
          <t>待联调</t>
        </is>
      </c>
      <c r="D12" s="4" t="inlineStr">
        <is>
          <t>ZCode</t>
        </is>
      </c>
      <c r="E12" s="4" t="inlineStr">
        <is>
          <t>P03</t>
        </is>
      </c>
      <c r="F12" s="4">
        <f>'01_闭环计划'!D9</f>
        <v/>
      </c>
      <c r="G12" s="4" t="inlineStr">
        <is>
          <t>2026-09-06 重绑撤销旧 Companion token 并递增 controlEpoch；test_reenroll_revokes_previous_companion_instance 通过。迁移 002_device_control_epoch.sql 待生产执行。</t>
        </is>
      </c>
      <c r="H12" s="4" t="inlineStr">
        <is>
          <t>复用已有代码/测试；按新包验收，未提供的证据不推定通过。</t>
        </is>
      </c>
      <c r="I12" s="4" t="inlineStr">
        <is>
          <t>验收1：重绑后旧token401
验收2：并发注册只有一个活跃实例
验收3：手机通过SIM能注册和心跳</t>
        </is>
      </c>
      <c r="J12" s="4" t="inlineStr">
        <is>
          <t>POST /api/v1/mobile/enrollments与/companion/v2/enroll沿用；新字段须向后兼容。</t>
        </is>
      </c>
      <c r="K12" s="4" t="inlineStr">
        <is>
          <t>T006</t>
        </is>
      </c>
      <c r="L12" s="4" t="inlineStr">
        <is>
          <t>原工作簿/02_实施任务!A12:O12；S04、S03、S05</t>
        </is>
      </c>
    </row>
    <row r="13" ht="144" customHeight="1">
      <c r="A13" s="4" t="inlineStr">
        <is>
          <t>T008</t>
        </is>
      </c>
      <c r="B13" s="4" t="inlineStr">
        <is>
          <t>P1｜自动探测真实设备系统与能力</t>
        </is>
      </c>
      <c r="C13" s="4" t="inlineStr">
        <is>
          <t>进行中</t>
        </is>
      </c>
      <c r="D13" s="4" t="inlineStr">
        <is>
          <t>ZCode</t>
        </is>
      </c>
      <c r="E13" s="4" t="inlineStr">
        <is>
          <t>P04</t>
        </is>
      </c>
      <c r="F13" s="4">
        <f>'01_闭环计划'!D10</f>
        <v/>
      </c>
      <c r="G13" s="4" t="inlineStr">
        <is>
          <t>2026-09-06 heartbeat 增加 sdkInt/model/network/mediaProjection。2026-09-06 ADB 真机 OnePlus LE2100 / Android 14 / SDK 34。 Companion com.company.cloudctl.companion 0.1.0 versionCode=1 minSdk=29 targetSdk=35。 闲鱼 com.taobao.idlefish 7.27.90 versionCode=516。 小红书 com.xingin.xhs 8.50.1 versionCode=8501132。 基线机型是红米 Note9，当前连接的是 OnePlus 9R，不能冒充 Note9 验收。</t>
        </is>
      </c>
      <c r="H13" s="4" t="inlineStr">
        <is>
          <t>复用已有代码/测试；按新包验收，未提供的证据不推定通过。</t>
        </is>
      </c>
      <c r="I13" s="4" t="inlineStr">
        <is>
          <t>验收1：实际Note9有设备报告
验收2：断开权限后任务前置校验失败
验收3：WiFi/蜂窝切换真实反映</t>
        </is>
      </c>
      <c r="J13" s="4" t="inlineStr">
        <is>
          <t>heartbeat增加可选字段兼容旧APK；capability不可用需reasonCode。</t>
        </is>
      </c>
      <c r="K13" s="4" t="inlineStr">
        <is>
          <t>T007</t>
        </is>
      </c>
      <c r="L13" s="4" t="inlineStr">
        <is>
          <t>原工作簿/02_实施任务!A13:O13；S30、S25、S06</t>
        </is>
      </c>
    </row>
    <row r="14" ht="172" customHeight="1">
      <c r="A14" s="4" t="inlineStr">
        <is>
          <t>T009</t>
        </is>
      </c>
      <c r="B14" s="4" t="inlineStr">
        <is>
          <t>P1｜平台包/版本/账号能力自动探测</t>
        </is>
      </c>
      <c r="C14" s="4" t="inlineStr">
        <is>
          <t>待联调</t>
        </is>
      </c>
      <c r="D14" s="4" t="inlineStr">
        <is>
          <t>ZCode</t>
        </is>
      </c>
      <c r="E14" s="4" t="inlineStr">
        <is>
          <t>P04</t>
        </is>
      </c>
      <c r="F14" s="4">
        <f>'01_闭环计划'!D10</f>
        <v/>
      </c>
      <c r="G14" s="4" t="inlineStr">
        <is>
          <t>2026-09-06 真机已安装闲鱼7.27.90、小红书8.50.1、Companion 0.1.0。 CommandV1 允许 com.xingin.xhs；mobile_service._insert_task 仍只允许 Companion/闲鱼，小红书任务下发未接通。2026-09-06 ADB 真机 OnePlus LE2100 / Android 14 / SDK 34。 Companion com.company.cloudctl.companion 0.1.0 versionCode=1 minSdk=29 targetSdk=35。 闲鱼 com.taobao.idlefish 7.27.90 versionCode=516。 小红书 com.xingin.xhs 8.50.1 versionCode=8501132。 基线机型是红米 Note9，当前连接的是 OnePlus 9R，不能冒充 Note9 验收。</t>
        </is>
      </c>
      <c r="H14" s="4" t="inlineStr">
        <is>
          <t>复用已有代码/测试；按新包验收，未提供的证据不推定通过。</t>
        </is>
      </c>
      <c r="I14" s="4" t="inlineStr">
        <is>
          <t>验收1：卸载/升级后正确上报
验收2：官方单开小红书可注册
验收3：未知包本地和后端都拒绝</t>
        </is>
      </c>
      <c r="J14" s="4" t="inlineStr">
        <is>
          <t>版本只是适配选择与证据，不作为用户必须知道的产品输入。</t>
        </is>
      </c>
      <c r="K14" s="4" t="inlineStr">
        <is>
          <t>T008</t>
        </is>
      </c>
      <c r="L14" s="4" t="inlineStr">
        <is>
          <t>原工作簿/02_实施任务!A14:O14；S04、S29、S28</t>
        </is>
      </c>
    </row>
    <row r="15" ht="116" customHeight="1">
      <c r="A15" s="4" t="inlineStr">
        <is>
          <t>T010</t>
        </is>
      </c>
      <c r="B15" s="4" t="inlineStr">
        <is>
          <t>P1｜每平台唯一账号与换绑事务</t>
        </is>
      </c>
      <c r="C15" s="4" t="inlineStr">
        <is>
          <t>待联调</t>
        </is>
      </c>
      <c r="D15" s="4" t="inlineStr">
        <is>
          <t>ZCode</t>
        </is>
      </c>
      <c r="E15" s="4" t="inlineStr">
        <is>
          <t>P03</t>
        </is>
      </c>
      <c r="F15" s="4">
        <f>'01_闭环计划'!D9</f>
        <v/>
      </c>
      <c r="G15" s="4" t="inlineStr">
        <is>
          <t>2026-09-06 同设备同平台仅一条 BOUND；闲鱼+小红书可并存。 换绑递增 bindingVersion，旧排队任务 ACCOUNT_CHANGED。 tests: test_one_bound_account_per_device_platform_and_history_preserved 与 test_rebind_fails_queued_task_with_account_changed 通过。 迁移 003_account_binding_ownership.sql 未应用到生产库。</t>
        </is>
      </c>
      <c r="H15" s="4" t="inlineStr">
        <is>
          <t>复用已有代码/测试；按新包验收，未提供的证据不推定通过。</t>
        </is>
      </c>
      <c r="I15" s="4" t="inlineStr">
        <is>
          <t>验收1：1闲鱼+1小红书通过
验收2：两个闲鱼账号不能同时BOUND
验收3：换绑后旧排队任务ACCOUNT_CHANGED</t>
        </is>
      </c>
      <c r="J15" s="4" t="inlineStr">
        <is>
          <t>不保存平台登录密码；secretRef如旧模型必填，调整为适用授权方式的可选字段。</t>
        </is>
      </c>
      <c r="K15" s="4" t="inlineStr">
        <is>
          <t>T009、T006</t>
        </is>
      </c>
      <c r="L15" s="4" t="inlineStr">
        <is>
          <t>原工作簿/02_实施任务!A15:O15；S02、S04、S03</t>
        </is>
      </c>
    </row>
    <row r="16" ht="110" customHeight="1">
      <c r="A16" s="4" t="inlineStr">
        <is>
          <t>T011</t>
        </is>
      </c>
      <c r="B16" s="4" t="inlineStr">
        <is>
          <t>P1｜账号换绑后的数据归属与旧任务阻断</t>
        </is>
      </c>
      <c r="C16" s="4" t="inlineStr">
        <is>
          <t>待联调</t>
        </is>
      </c>
      <c r="D16" s="4" t="inlineStr">
        <is>
          <t>ZCode</t>
        </is>
      </c>
      <c r="E16" s="4" t="inlineStr">
        <is>
          <t>P03</t>
        </is>
      </c>
      <c r="F16" s="4">
        <f>'01_闭环计划'!D9</f>
        <v/>
      </c>
      <c r="G16" s="4" t="inlineStr">
        <is>
          <t>2026-09-06 Product/Post 仍是租户资产。任务/发布目标冻结 accountId、bindingVersion、deviceIdAtExecution。 GET /api/v1/accounts/{id}/ownership 可查已解绑账号历史。换绑不改写历史 accountId。 周期计划完整模型仍待 T017；当前对 DRAFT/SCHEDULED/QUEUED 发布计划暂停为 CANCELED。</t>
        </is>
      </c>
      <c r="H16" s="4" t="inlineStr">
        <is>
          <t>复用已有代码/测试；按新包验收，未提供的证据不推定通过。</t>
        </is>
      </c>
      <c r="I16" s="4" t="inlineStr">
        <is>
          <t>验收1：甲订单依然属于甲
验收2：乙无法误执行甲任务
验收3：历史设备与当前绑定都可解释</t>
        </is>
      </c>
      <c r="J16" s="4" t="inlineStr">
        <is>
          <t>账号历史保留不等于永不允许删除；用户删除有独立权限与引用策略。</t>
        </is>
      </c>
      <c r="K16" s="4" t="inlineStr">
        <is>
          <t>T010</t>
        </is>
      </c>
      <c r="L16" s="4" t="inlineStr">
        <is>
          <t>原工作簿/02_实施任务!A16:O16；S02、S03</t>
        </is>
      </c>
    </row>
    <row r="17" ht="110" customHeight="1">
      <c r="A17" s="4" t="inlineStr">
        <is>
          <t>T012</t>
        </is>
      </c>
      <c r="B17" s="4" t="inlineStr">
        <is>
          <t>P0｜高层指令与强类型参数契约</t>
        </is>
      </c>
      <c r="C17" s="4" t="inlineStr">
        <is>
          <t>待联调</t>
        </is>
      </c>
      <c r="D17" s="4" t="inlineStr">
        <is>
          <t>ZCode</t>
        </is>
      </c>
      <c r="E17" s="4" t="inlineStr">
        <is>
          <t>P01</t>
        </is>
      </c>
      <c r="F17" s="4">
        <f>'01_闭环计划'!D7</f>
        <v/>
      </c>
      <c r="G17" s="101" t="inlineStr">
        <is>
          <t>2026-09-06 CommandV1 schema contracts/phase1/command-v1.schema.json；Python/TS/Kotlin 同 fixture。 拒绝 shell/DEX/JS/未知字段。test_command_v1.py 通过。 Companion claim 路径仍发 cloudctl.mobile/v1 steps，尚未用 CommandV1 替换生产下发。
2026-09-08 生产claim已改为cloudctl.command/v1；Companion解析command并执行builtin Recipe。</t>
        </is>
      </c>
      <c r="H17" s="4" t="inlineStr">
        <is>
          <t>复用已有代码/测试；按新包验收，未提供的证据不推定通过。</t>
        </is>
      </c>
      <c r="I17" s="4" t="inlineStr">
        <is>
          <t>验收1：三端解析同fixture一致
验收2：错设备/错账号/错schema拒绝
验收3：云端命令不含未授权执行代码</t>
        </is>
      </c>
      <c r="J17" s="4" t="inlineStr">
        <is>
          <t>手机只消费冻结参数和已发布本地Recipe；动态任意shell/DEX/JS执行均不在协议中。</t>
        </is>
      </c>
      <c r="K17" s="4" t="inlineStr">
        <is>
          <t>T003、T009、T004</t>
        </is>
      </c>
      <c r="L17" s="4" t="inlineStr">
        <is>
          <t>原工作簿/02_实施任务!A17:O17；S06、S29、S27</t>
        </is>
      </c>
    </row>
    <row r="18" ht="110" customHeight="1">
      <c r="A18" s="4" t="inlineStr">
        <is>
          <t>T013</t>
        </is>
      </c>
      <c r="B18" s="4" t="inlineStr">
        <is>
          <t>P0｜统一业务任务API与唯一状态源</t>
        </is>
      </c>
      <c r="C18" s="4" t="inlineStr">
        <is>
          <t>进行中</t>
        </is>
      </c>
      <c r="D18" s="4" t="inlineStr">
        <is>
          <t>ZCode</t>
        </is>
      </c>
      <c r="E18" s="4" t="inlineStr">
        <is>
          <t>P05</t>
        </is>
      </c>
      <c r="F18" s="4">
        <f>'01_闭环计划'!D11</f>
        <v/>
      </c>
      <c r="G18" s="4" t="inlineStr">
        <is>
          <t>2026-09-06 新增 /api/v1/platform-tasks，映射 MobileTask，不另建队列。幂等双击返回原任务；deviceIds 生成独立 taskId 共享 batchId；游标分页。取消 QUEUED→CANCELLED；ACCOUNT_CHANGED 不可 retry。test_platform_tasks.py 通过。迁移 004 未上生产库。</t>
        </is>
      </c>
      <c r="H18" s="4" t="inlineStr">
        <is>
          <t>复用已有代码/测试；按新包验收，未提供的证据不推定通过。</t>
        </is>
      </c>
      <c r="I18" s="4" t="inlineStr">
        <is>
          <t>验收1：双击只建1任务
验收2：201条历史可分页查全
验收3：跨设备并行、同设备仅顺序执行</t>
        </is>
      </c>
      <c r="J18" s="4" t="inlineStr">
        <is>
          <t>新增/api/v1/platform-tasks；原/api/v1/mobile/tasks为底层兼容，不另建业务队列。 终态限定SUCCEEDED/FAILED/CANCELLED/EXPIRED；REMOTE不是业务任务终态。</t>
        </is>
      </c>
      <c r="K18" s="4" t="inlineStr">
        <is>
          <t>T012、T010</t>
        </is>
      </c>
      <c r="L18" s="4" t="inlineStr">
        <is>
          <t>原工作簿/02_实施任务!A18:O18；S04、S03、S02</t>
        </is>
      </c>
    </row>
    <row r="19" ht="110" customHeight="1">
      <c r="A19" s="4" t="inlineStr">
        <is>
          <t>T014</t>
        </is>
      </c>
      <c r="B19" s="4" t="inlineStr">
        <is>
          <t>P1｜步骤事件、错误和结构化结果</t>
        </is>
      </c>
      <c r="C19" s="4" t="inlineStr">
        <is>
          <t>进行中</t>
        </is>
      </c>
      <c r="D19" s="4" t="inlineStr">
        <is>
          <t>ZCode</t>
        </is>
      </c>
      <c r="E19" s="4" t="inlineStr">
        <is>
          <t>P05</t>
        </is>
      </c>
      <c r="F19" s="4">
        <f>'01_闭环计划'!D11</f>
        <v/>
      </c>
      <c r="G19" s="4" t="inlineStr">
        <is>
          <t>2026-09-06 事件增加 attemptId/stepId/receivedAt；PAUSE_* 不记 FAILED；错误 resultType 422。契约 contracts/phase1/events/task-event.schema.json。现有事件重放/缺口 409 仍有效。</t>
        </is>
      </c>
      <c r="H19" s="4" t="inlineStr">
        <is>
          <t>复用已有代码/测试；按新包验收，未提供的证据不推定通过。</t>
        </is>
      </c>
      <c r="I19" s="4" t="inlineStr">
        <is>
          <t>验收1：不同失败code保持原义
验收2：事件重放不乱序
验收3：错误resultType被422拒绝</t>
        </is>
      </c>
      <c r="J19" s="4" t="inlineStr">
        <is>
          <t>UTC保存时间；业务时区仅调度解释；不信任设备时钟作为授权有效期唯一依据。</t>
        </is>
      </c>
      <c r="K19" s="4" t="inlineStr">
        <is>
          <t>T013</t>
        </is>
      </c>
      <c r="L19" s="4" t="inlineStr">
        <is>
          <t>原工作簿/02_实施任务!A19:O19；S04、S06、S26</t>
        </is>
      </c>
    </row>
    <row r="20" ht="110" customHeight="1">
      <c r="A20" s="4" t="inlineStr">
        <is>
          <t>T015</t>
        </is>
      </c>
      <c r="B20" s="4" t="inlineStr">
        <is>
          <t>P1｜不可变业务快照和资源解析规则</t>
        </is>
      </c>
      <c r="C20" s="4" t="inlineStr">
        <is>
          <t>待联调</t>
        </is>
      </c>
      <c r="D20" s="4" t="inlineStr">
        <is>
          <t>ZCode</t>
        </is>
      </c>
      <c r="E20" s="4" t="inlineStr">
        <is>
          <t>P06</t>
        </is>
      </c>
      <c r="F20" s="4">
        <f>'01_闭环计划'!D12</f>
        <v/>
      </c>
      <c r="G20" s="4" t="inlineStr">
        <is>
          <t>2026-09-06 PlatformTask 创建时冻结 commandPayload 并计算 snapshotSha256；retry 复用原 parameters，不读后续编辑。完整 PublishSnapshot 池/水印解析仍待发布链路接通。</t>
        </is>
      </c>
      <c r="H20" s="4" t="inlineStr">
        <is>
          <t>复用已有代码/测试；按新包验收，未提供的证据不推定通过。</t>
        </is>
      </c>
      <c r="I20" s="4" t="inlineStr">
        <is>
          <t>验收1：旧任务文案和媒体hash不漂移
验收2：相同任务重试不重新随机
验收3：快照可以独立复现要执行的内容</t>
        </is>
      </c>
      <c r="J20" s="4" t="inlineStr">
        <is>
          <t>默认地址选择：设备池优先、通用池回退；用户可配置。默认规则是设计值，不伪称用户已指定。</t>
        </is>
      </c>
      <c r="K20" s="4" t="inlineStr">
        <is>
          <t>T013</t>
        </is>
      </c>
      <c r="L20" s="4" t="inlineStr">
        <is>
          <t>原工作簿/02_实施任务!A20:O20；S02、S03</t>
        </is>
      </c>
    </row>
    <row r="21" ht="110" customHeight="1">
      <c r="A21" s="4" t="inlineStr">
        <is>
          <t>T016</t>
        </is>
      </c>
      <c r="B21" s="4" t="inlineStr">
        <is>
          <t>P0｜所有设备写操作共用fencing租约</t>
        </is>
      </c>
      <c r="C21" s="4" t="inlineStr">
        <is>
          <t>待联调</t>
        </is>
      </c>
      <c r="D21" s="4" t="inlineStr">
        <is>
          <t>ZCode</t>
        </is>
      </c>
      <c r="E21" s="4" t="inlineStr">
        <is>
          <t>P08</t>
        </is>
      </c>
      <c r="F21" s="4">
        <f>'01_闭环计划'!D14</f>
        <v/>
      </c>
      <c r="G21" s="4" t="inlineStr">
        <is>
          <t>2026-09-06 Companion claim 复用 DeviceLeaseRow，ownerType=AUTO；PAUSE_WAITING_USER 队头阻塞后项；maintenance 禁止 AUTO claim；心跳续租。test_paused_head_blocks_later_task_and_maintenance_blocks_auto_claim 通过。迁移 005 未上生产库。APK 本地单调时钟门禁仍待 Companion 执行器。</t>
        </is>
      </c>
      <c r="H21" s="4" t="inlineStr">
        <is>
          <t>复用已有代码/测试；按新包验收，未提供的证据不推定通过。</t>
        </is>
      </c>
      <c r="I21" s="4" t="inlineStr">
        <is>
          <t>验收1：同设备并发100次claim仅1writer
验收2：旧epoch命令拒绝
验收3：maintenance禁止AUTO
验收4：下载期间不丢租</t>
        </is>
      </c>
      <c r="J21" s="4" t="inlineStr">
        <is>
          <t>设计初值lease60秒/续租15秒，需配置与压测；暂停只读不需要自动化writer，但设备逻辑队列仍阻塞到恢复/取消。</t>
        </is>
      </c>
      <c r="K21" s="4" t="inlineStr">
        <is>
          <t>T013、T007</t>
        </is>
      </c>
      <c r="L21" s="4" t="inlineStr">
        <is>
          <t>原工作簿/02_实施任务!A21:O21；S04、S02、S03</t>
        </is>
      </c>
    </row>
    <row r="22" ht="110" customHeight="1">
      <c r="A22" s="4" t="inlineStr">
        <is>
          <t>T017</t>
        </is>
      </c>
      <c r="B22" s="4" t="inlineStr">
        <is>
          <t>P1｜预约和周期产生独立任务</t>
        </is>
      </c>
      <c r="C22" s="4" t="inlineStr">
        <is>
          <t>待联调</t>
        </is>
      </c>
      <c r="D22" s="4" t="inlineStr">
        <is>
          <t>ZCode</t>
        </is>
      </c>
      <c r="E22" s="4" t="inlineStr">
        <is>
          <t>P06</t>
        </is>
      </c>
      <c r="F22" s="4">
        <f>'01_闭环计划'!D12</f>
        <v/>
      </c>
      <c r="G22" s="4" t="inlineStr">
        <is>
          <t>2026-09-07 新增 /api/v1/task-schedules。ONCE/RECURRING 触发按 scheduleId+scheduledFor+deviceId 幂等生成独立 PlatformTask；关闭计划 409；10 设备 10 taskId；换绑暂停计划。test_task_schedules.py 通过。迁移 006 未上生产库。Temporal 工作流未接线，当前为 API 触发。</t>
        </is>
      </c>
      <c r="H22" s="4" t="inlineStr">
        <is>
          <t>复用已有代码/测试；按新包验收，未提供的证据不推定通过。</t>
        </is>
      </c>
      <c r="I22" s="4" t="inlineStr">
        <is>
          <t>验收1：重复消息不重复建任务
验收2：时区/DST测试
验收3：关闭计划不再触发
验收4：10设备生成10独立任务</t>
        </is>
      </c>
      <c r="J22" s="4" t="inlineStr">
        <is>
          <t>设计默认：发布startDeadline到点后30分钟；订单/采集可更宽。参数可调，不当用户已确认SLA。</t>
        </is>
      </c>
      <c r="K22" s="4" t="inlineStr">
        <is>
          <t>T013、T015</t>
        </is>
      </c>
      <c r="L22" s="4" t="inlineStr">
        <is>
          <t>原工作簿/02_实施任务!A22:O22；S31、S02</t>
        </is>
      </c>
    </row>
    <row r="23" ht="110" customHeight="1">
      <c r="A23" s="4" t="inlineStr">
        <is>
          <t>T018</t>
        </is>
      </c>
      <c r="B23" s="4" t="inlineStr">
        <is>
          <t>P1｜统一立即/预约/周期表单</t>
        </is>
      </c>
      <c r="C23" s="4" t="inlineStr">
        <is>
          <t>待联调</t>
        </is>
      </c>
      <c r="D23" s="4" t="inlineStr">
        <is>
          <t>ZCode</t>
        </is>
      </c>
      <c r="E23" s="4" t="inlineStr">
        <is>
          <t>P06</t>
        </is>
      </c>
      <c r="F23" s="4">
        <f>'01_闭环计划'!D12</f>
        <v/>
      </c>
      <c r="G23" s="4" t="inlineStr">
        <is>
          <t>2026-09-07 ScheduleEditor 统一 IMMEDIATE/ONCE/RECURRING；闲鱼简单任务/额外任务/采集页去掉仅立即执行的旧 select。schedule-editor.spec.ts 通过。刷新后预约仍在需 Control API 联调。</t>
        </is>
      </c>
      <c r="H23" s="4" t="inlineStr">
        <is>
          <t>复用已有代码/测试；按新包验收，未提供的证据不推定通过。</t>
        </is>
      </c>
      <c r="I23" s="4" t="inlineStr">
        <is>
          <t>验收1：刷新后预约仍在
验收2：10台创建结果显示10 taskId
验收3：每页使用同一调度DTO</t>
        </is>
      </c>
      <c r="J23" s="4" t="inlineStr">
        <is>
          <t>不新增优先级UI；批量入口只是便捷创建独立任务。</t>
        </is>
      </c>
      <c r="K23" s="4" t="inlineStr">
        <is>
          <t>T017、T005</t>
        </is>
      </c>
      <c r="L23" s="4" t="inlineStr">
        <is>
          <t>原工作簿/02_实施任务!A23:O23；S15、S16、S13</t>
        </is>
      </c>
    </row>
    <row r="24" ht="110" customHeight="1">
      <c r="A24" s="4" t="inlineStr">
        <is>
          <t>T019</t>
        </is>
      </c>
      <c r="B24" s="4" t="inlineStr">
        <is>
          <t>P0｜定义可签名的手机本地状态图包</t>
        </is>
      </c>
      <c r="C24" s="4" t="inlineStr">
        <is>
          <t>待联调</t>
        </is>
      </c>
      <c r="D24" s="4" t="inlineStr">
        <is>
          <t>ZCode</t>
        </is>
      </c>
      <c r="E24" s="4" t="inlineStr">
        <is>
          <t>P07</t>
        </is>
      </c>
      <c r="F24" s="4">
        <f>'01_闭环计划'!D13</f>
        <v/>
      </c>
      <c r="G24" s="4" t="inlineStr">
        <is>
          <t>2026-09-07 Recipe 签名包 schema + validate_recipe_package。test_recipe_package.py 通过。</t>
        </is>
      </c>
      <c r="H24" s="4" t="inlineStr">
        <is>
          <t>复用已有代码/测试；按新包验收，未提供的证据不推定通过。</t>
        </is>
      </c>
      <c r="I24" s="4" t="inlineStr">
        <is>
          <t>验收1：伪造/篡改/不兼容包拒绝
验收2：状态图有界
验收3：全部动作在APK白名单中</t>
        </is>
      </c>
      <c r="J24" s="4" t="inlineStr">
        <is>
          <t>原生新能力需要APK升级；页面和流程变化可更新数据Recipe；不开放任意远程代码执行。</t>
        </is>
      </c>
      <c r="K24" s="4" t="inlineStr">
        <is>
          <t>T012、T003</t>
        </is>
      </c>
      <c r="L24" s="4" t="inlineStr">
        <is>
          <t>原工作簿/02_实施任务!A24:O24；S02、S27、S29</t>
        </is>
      </c>
    </row>
    <row r="25" ht="110" customHeight="1">
      <c r="A25" s="4" t="inlineStr">
        <is>
          <t>T020</t>
        </is>
      </c>
      <c r="B25" s="4" t="inlineStr">
        <is>
          <t>P0｜本地Recipe解释器与平台注册</t>
        </is>
      </c>
      <c r="C25" s="4" t="inlineStr">
        <is>
          <t>进行中</t>
        </is>
      </c>
      <c r="D25" s="4" t="inlineStr">
        <is>
          <t>ZCode</t>
        </is>
      </c>
      <c r="E25" s="4" t="inlineStr">
        <is>
          <t>P07</t>
        </is>
      </c>
      <c r="F25" s="4">
        <f>'01_闭环计划'!D13</f>
        <v/>
      </c>
      <c r="G25" s="101" t="inlineStr">
        <is>
          <t>2026-09-07 Companion RecipeEngine 本地解释；gradle testDebugUnitTest 通过。生产 claim 仍兼容旧 steps。
2026-09-08 生产领取主入口不再发旧steps（legacyStepsEnabled默认false）。</t>
        </is>
      </c>
      <c r="H25" s="4" t="inlineStr">
        <is>
          <t>复用已有代码/测试；按新包验收，未提供的证据不推定通过。</t>
        </is>
      </c>
      <c r="I25" s="4" t="inlineStr">
        <is>
          <t>验收1：同命令独立本地完成流程
验收2：循环不会无限跑
验收3：未知页面进WAITING_USER
验收4：错recipe hash拒绝</t>
        </is>
      </c>
      <c r="J25" s="4" t="inlineStr">
        <is>
          <t>旧low-level steps用兼容adapter，不继续扩成第二套主引擎。</t>
        </is>
      </c>
      <c r="K25" s="4" t="inlineStr">
        <is>
          <t>T019、T009</t>
        </is>
      </c>
      <c r="L25" s="4" t="inlineStr">
        <is>
          <t>原工作簿/02_实施任务!A25:O25；S27、S28、S29</t>
        </is>
      </c>
    </row>
    <row r="26" ht="110" customHeight="1">
      <c r="A26" s="4" t="inlineStr">
        <is>
          <t>T021</t>
        </is>
      </c>
      <c r="B26" s="4" t="inlineStr">
        <is>
          <t>P1｜执行生命周期、启动和下载错误修复</t>
        </is>
      </c>
      <c r="C26" s="4" t="inlineStr">
        <is>
          <t>待联调</t>
        </is>
      </c>
      <c r="D26" s="4" t="inlineStr">
        <is>
          <t>ZCode</t>
        </is>
      </c>
      <c r="E26" s="4" t="inlineStr">
        <is>
          <t>P07</t>
        </is>
      </c>
      <c r="F26" s="4">
        <f>'01_闭环计划'!D13</f>
        <v/>
      </c>
      <c r="G26" s="4" t="inlineStr">
        <is>
          <t>2026-09-07 claim 后先心跳续租再下素材；launchTargetApp；锁屏/存储/无障碍 preflight；CancellationException 记 CANCELLED；ExecutorFailure.code 保留。gradle testDebugUnitTest 通过。</t>
        </is>
      </c>
      <c r="H26" s="4" t="inlineStr">
        <is>
          <t>复用已有代码/测试；按新包验收，未提供的证据不推定通过。</t>
        </is>
      </c>
      <c r="I26" s="4" t="inlineStr">
        <is>
          <t>验收1：手机桌面能启动平台
验收2：下载异常不卡RUNNING
验收3：取消不伪装失败
验收4：缺权限不会盲跑</t>
        </is>
      </c>
      <c r="J26" s="4" t="inlineStr">
        <is>
          <t>常亮执行是用户环境，不等于永不崩溃；不承诺自动解锁PIN或绕过系统权限。</t>
        </is>
      </c>
      <c r="K26" s="4" t="inlineStr">
        <is>
          <t>T020、T016、T014</t>
        </is>
      </c>
      <c r="L26" s="4" t="inlineStr">
        <is>
          <t>原工作簿/02_实施任务!A26:O26；S25、S28、S26</t>
        </is>
      </c>
    </row>
    <row r="27" ht="110" customHeight="1">
      <c r="A27" s="4" t="inlineStr">
        <is>
          <t>T022</t>
        </is>
      </c>
      <c r="B27" s="4" t="inlineStr">
        <is>
          <t>P1｜独立事件和结果上传协程</t>
        </is>
      </c>
      <c r="C27" s="4" t="inlineStr">
        <is>
          <t>待联调</t>
        </is>
      </c>
      <c r="D27" s="4" t="inlineStr">
        <is>
          <t>ZCode</t>
        </is>
      </c>
      <c r="E27" s="4" t="inlineStr">
        <is>
          <t>P07</t>
        </is>
      </c>
      <c r="F27" s="4">
        <f>'01_闭环计划'!D13</f>
        <v/>
      </c>
      <c r="G27" s="4" t="inlineStr">
        <is>
          <t>2026-09-07 独立 outboxLoop；dueEventsByTask 按任务交错上传；成功结果含 outcome/resultType；401 永久停发。</t>
        </is>
      </c>
      <c r="H27" s="4" t="inlineStr">
        <is>
          <t>复用已有代码/测试；按新包验收，未提供的证据不推定通过。</t>
        </is>
      </c>
      <c r="I27" s="4" t="inlineStr">
        <is>
          <t>验收1：长任务运行时Web及时收到steps
验收2：重连顺序正确
验收3：成功结果不是{}</t>
        </is>
      </c>
      <c r="J27" s="4" t="inlineStr">
        <is>
          <t>仅日志可最终一致；设备控制租约和不可逆动作门禁不能等日志慢慢补。</t>
        </is>
      </c>
      <c r="K27" s="4" t="inlineStr">
        <is>
          <t>T014、T021</t>
        </is>
      </c>
      <c r="L27" s="4" t="inlineStr">
        <is>
          <t>原工作簿/02_实施任务!A27:O27；S25、S26</t>
        </is>
      </c>
    </row>
    <row r="28" ht="110" customHeight="1">
      <c r="A28" s="4" t="inlineStr">
        <is>
          <t>T023</t>
        </is>
      </c>
      <c r="B28" s="4" t="inlineStr">
        <is>
          <t>P0｜持久化可恢复检查点</t>
        </is>
      </c>
      <c r="C28" s="4" t="inlineStr">
        <is>
          <t>待联调</t>
        </is>
      </c>
      <c r="D28" s="4" t="inlineStr">
        <is>
          <t>ZCode</t>
        </is>
      </c>
      <c r="E28" s="4" t="inlineStr">
        <is>
          <t>P08</t>
        </is>
      </c>
      <c r="F28" s="4">
        <f>'01_闭环计划'!D14</f>
        <v/>
      </c>
      <c r="G28" s="4" t="inlineStr">
        <is>
          <t>2026-09-07 task_checkpoint 表；重启 RUNNING→RESUME_CHECK 不再 FAILED_RESTART。AutomationStoreTest checkpoint 用例通过。</t>
        </is>
      </c>
      <c r="H28" s="4" t="inlineStr">
        <is>
          <t>复用已有代码/测试；按新包验收，未提供的证据不推定通过。</t>
        </is>
      </c>
      <c r="I28" s="4" t="inlineStr">
        <is>
          <t>验收1：同taskId从检查点继续
验收2：第N项恢复不重做前N-1项
验收3：版本不匹配停下</t>
        </is>
      </c>
      <c r="J28" s="4" t="inlineStr">
        <is>
          <t>检查点不是屏幕截图；必须包含能判定恢复安全性的业务状态。</t>
        </is>
      </c>
      <c r="K28" s="4" t="inlineStr">
        <is>
          <t>T020、T022、T015</t>
        </is>
      </c>
      <c r="L28" s="4" t="inlineStr">
        <is>
          <t>原工作簿/02_实施任务!A28:O28；S26、S27</t>
        </is>
      </c>
    </row>
    <row r="29" ht="110" customHeight="1">
      <c r="A29" s="4" t="inlineStr">
        <is>
          <t>T024</t>
        </is>
      </c>
      <c r="B29" s="4" t="inlineStr">
        <is>
          <t>P0｜发布/消耗/删除提交门禁</t>
        </is>
      </c>
      <c r="C29" s="4" t="inlineStr">
        <is>
          <t>待联调</t>
        </is>
      </c>
      <c r="D29" s="4" t="inlineStr">
        <is>
          <t>ZCode</t>
        </is>
      </c>
      <c r="E29" s="4" t="inlineStr">
        <is>
          <t>P09</t>
        </is>
      </c>
      <c r="F29" s="4">
        <f>'01_闭环计划'!D15</f>
        <v/>
      </c>
      <c r="G29" s="4" t="inlineStr">
        <is>
          <t>2026-09-07 action_journal INTENT/APPLIED/UNKNOWN；同 actionKey APPLIED 不再二次点击。单元测试覆盖。真机断网二次提交仍待联调。</t>
        </is>
      </c>
      <c r="H29" s="4" t="inlineStr">
        <is>
          <t>复用已有代码/测试；按新包验收，未提供的证据不推定通过。</t>
        </is>
      </c>
      <c r="I29" s="4" t="inlineStr">
        <is>
          <t>验收1：点击发布后断网不自动再发
验收2：预算/参数变化必须重新确认
验收3：已有成功item不重复处理</t>
        </is>
      </c>
      <c r="J29" s="4" t="inlineStr">
        <is>
          <t>不宣称第三方UI严格exactly-once；采用可判定防重+不确定结果核对。</t>
        </is>
      </c>
      <c r="K29" s="4" t="inlineStr">
        <is>
          <t>T023、T016</t>
        </is>
      </c>
      <c r="L29" s="4" t="inlineStr">
        <is>
          <t>原工作簿/02_实施任务!A29:O29；S31、S04、S26</t>
        </is>
      </c>
    </row>
    <row r="30" ht="110" customHeight="1">
      <c r="A30" s="4" t="inlineStr">
        <is>
          <t>T025</t>
        </is>
      </c>
      <c r="B30" s="4" t="inlineStr">
        <is>
          <t>P1｜不确定外部结果核对</t>
        </is>
      </c>
      <c r="C30" s="4" t="inlineStr">
        <is>
          <t>待联调</t>
        </is>
      </c>
      <c r="D30" s="4" t="str"/>
      <c r="E30" s="4" t="inlineStr">
        <is>
          <t>P09</t>
        </is>
      </c>
      <c r="F30" s="4">
        <f>'01_闭环计划'!D15</f>
        <v/>
      </c>
      <c r="G30" s="101" t="inlineStr">
        <is>
          <t>未提供证据记录
2026-09-08 服务端UNKNOWN/RECONCILING/终态ack门禁单测已补；真机断网二次提交仍无。</t>
        </is>
      </c>
      <c r="H30" s="4" t="inlineStr">
        <is>
          <t>复用已有代码/测试；按新包验收，未提供的证据不推定通过。</t>
        </is>
      </c>
      <c r="I30" s="4" t="inlineStr">
        <is>
          <t>验收1：未知状态不会自动变成功
验收2：有结果可收敛
验收3：所有人工核对可审计</t>
        </is>
      </c>
      <c r="J30" s="4" t="inlineStr">
        <is>
          <t>确认未成功不是无证据强制重试；平台没有可靠身份时保留不确定状态。</t>
        </is>
      </c>
      <c r="K30" s="4" t="inlineStr">
        <is>
          <t>T024</t>
        </is>
      </c>
      <c r="L30" s="4" t="inlineStr">
        <is>
          <t>原工作簿/02_实施任务!A30:O30；S31、S26</t>
        </is>
      </c>
    </row>
    <row r="31" ht="144" customHeight="1">
      <c r="A31" s="4" t="inlineStr">
        <is>
          <t>T026</t>
        </is>
      </c>
      <c r="B31" s="4" t="inlineStr">
        <is>
          <t>P0｜暂停请求与安全停止握手</t>
        </is>
      </c>
      <c r="C31" s="4" t="inlineStr">
        <is>
          <t>已完成</t>
        </is>
      </c>
      <c r="D31" s="4" t="inlineStr">
        <is>
          <t>ZCode</t>
        </is>
      </c>
      <c r="E31" s="4" t="inlineStr">
        <is>
          <t>P08</t>
        </is>
      </c>
      <c r="F31" s="4">
        <f>'01_闭环计划'!D14</f>
        <v/>
      </c>
      <c r="G31" s="4" t="inlineStr">
        <is>
          <t>真机联调通过 2026-09-07
任务: 54548b87-1963-40ad-a188-3f991e78f04b
状态: PAUSED_WAITING_USER, pauseAckAt=2026-09-07T15:20:52.082937Z, controlMode=REMOTE
后续任务被挡: 850060b6-649a-4573-aa6a-9cd3b9d82647 停在QUEUED
代码: CompanionSyncService心跳前移到预检; AndroidManifest补queries; launchTargetApp兜底
APK: 已编译签名安装 /tmp/cloudctl-app-debug-signed.apk
设备: OnePlus9R b0644fb5, 闲鱼未点发布</t>
        </is>
      </c>
      <c r="H31" s="4" t="inlineStr">
        <is>
          <t>沿用完成；仅补缺失证据，不重做。</t>
        </is>
      </c>
      <c r="I31" s="4" t="inlineStr">
        <is>
          <t>验收1：自动任务运行时看屏不暂停
验收2：接管前自动化确已停
验收3：暂停后后续队列不越过</t>
        </is>
      </c>
      <c r="J31" s="4" t="inlineStr">
        <is>
          <t>控制消息可独立于长任务主循环接收；只读观看不触发pause。</t>
        </is>
      </c>
      <c r="K31" s="4" t="inlineStr">
        <is>
          <t>T023、T016</t>
        </is>
      </c>
      <c r="L31" s="4" t="inlineStr">
        <is>
          <t>原工作簿/02_实施任务!A31:O31；S04、S27、S26</t>
        </is>
      </c>
    </row>
    <row r="32" ht="110" customHeight="1">
      <c r="A32" s="4" t="inlineStr">
        <is>
          <t>T027</t>
        </is>
      </c>
      <c r="B32" s="4" t="inlineStr">
        <is>
          <t>P0｜交还控制权并继续原任务</t>
        </is>
      </c>
      <c r="C32" s="4" t="inlineStr">
        <is>
          <t>进行中</t>
        </is>
      </c>
      <c r="D32" s="4" t="inlineStr">
        <is>
          <t>ZCode</t>
        </is>
      </c>
      <c r="E32" s="4" t="inlineStr">
        <is>
          <t>P08</t>
        </is>
      </c>
      <c r="F32" s="4">
        <f>'01_闭环计划'!D14</f>
        <v/>
      </c>
      <c r="G32" s="101" t="inlineStr">
        <is>
          <t>2026-09-07 接 T026：同 taskId 从检查点继续；心跳下发 RESUME；新 AUTO epoch；pageVerified=false 拒绝；不从步骤1重跑。真机恢复尚未验收。
2026-09-08 API：resume须ack；取消不可恢复。真机恢复在CommandV1路径上待补一轮。</t>
        </is>
      </c>
      <c r="H32" s="4" t="inlineStr">
        <is>
          <t>复用已有代码/测试；按新包验收，未提供的证据不推定通过。</t>
        </is>
      </c>
      <c r="I32" s="4" t="inlineStr">
        <is>
          <t>验收1：处理后继续同taskId
验收2：旧远控命令不落地
验收3：无法判定不盲目恢复</t>
        </is>
      </c>
      <c r="J32" s="4" t="inlineStr">
        <is>
          <t>可以自动回到安全锚点，但不能为恢复随意丢弃人工内容或重复提交。</t>
        </is>
      </c>
      <c r="K32" s="4" t="inlineStr">
        <is>
          <t>T026、T025、T011</t>
        </is>
      </c>
      <c r="L32" s="4" t="inlineStr">
        <is>
          <t>原工作簿/02_实施任务!A32:O32；S26、S27</t>
        </is>
      </c>
    </row>
    <row r="33" ht="110" customHeight="1">
      <c r="A33" s="4" t="inlineStr">
        <is>
          <t>T028</t>
        </is>
      </c>
      <c r="B33" s="4" t="inlineStr">
        <is>
          <t>P1｜统一任务队列、详情与恢复入口</t>
        </is>
      </c>
      <c r="C33" s="4" t="inlineStr">
        <is>
          <t>进行中</t>
        </is>
      </c>
      <c r="D33" s="4" t="str"/>
      <c r="E33" s="4" t="inlineStr">
        <is>
          <t>P05</t>
        </is>
      </c>
      <c r="F33" s="4">
        <f>'01_闭环计划'!D11</f>
        <v/>
      </c>
      <c r="G33" s="4" t="inlineStr">
        <is>
          <t>未提供证据记录</t>
        </is>
      </c>
      <c r="H33" s="4" t="inlineStr">
        <is>
          <t>复用已有代码/测试；按新包验收，未提供的证据不推定通过。</t>
        </is>
      </c>
      <c r="I33" s="4" t="inlineStr">
        <is>
          <t>验收1：所有任务页复用同状态组件
验收2：暂停与失败视觉区分
验收3：刷新不丢历史</t>
        </is>
      </c>
      <c r="J33" s="4" t="inlineStr">
        <is>
          <t>长期任务历史可查；无父任务状态；batchId仅过滤。</t>
        </is>
      </c>
      <c r="K33" s="4" t="inlineStr">
        <is>
          <t>T013、T014、T026、T027、T018</t>
        </is>
      </c>
      <c r="L33" s="4" t="inlineStr">
        <is>
          <t>原工作簿/02_实施任务!A33:O33；S04、S20</t>
        </is>
      </c>
    </row>
    <row r="34" ht="110" customHeight="1">
      <c r="A34" s="4" t="inlineStr">
        <is>
          <t>T029</t>
        </is>
      </c>
      <c r="B34" s="4" t="inlineStr">
        <is>
          <t>P0｜设备主动联网的WebRTC会话服务</t>
        </is>
      </c>
      <c r="C34" s="4" t="inlineStr">
        <is>
          <t>未开始</t>
        </is>
      </c>
      <c r="D34" s="4" t="str"/>
      <c r="E34" s="4" t="inlineStr">
        <is>
          <t>P10</t>
        </is>
      </c>
      <c r="F34" s="4">
        <f>'01_闭环计划'!D16</f>
        <v/>
      </c>
      <c r="G34" s="4" t="inlineStr">
        <is>
          <t>未提供证据记录</t>
        </is>
      </c>
      <c r="H34" s="4" t="inlineStr">
        <is>
          <t>复用已有代码/测试；按新包验收，未提供的证据不推定通过。</t>
        </is>
      </c>
      <c r="I34" s="4" t="inlineStr">
        <is>
          <t>验收1：SIM网络可建立relay视频
验收2：跨租户信令403
验收3：TURN凭据过期不可继续新建会话</t>
        </is>
      </c>
      <c r="J34" s="4" t="inlineStr">
        <is>
          <t>POST /devices/{id}/rtc-sessions；WSS signaling；TURN REST短期凭据。接口名称为建议，优先复用现有路由规范。</t>
        </is>
      </c>
      <c r="K34" s="4" t="inlineStr">
        <is>
          <t>T006、T007</t>
        </is>
      </c>
      <c r="L34" s="4" t="inlineStr">
        <is>
          <t>原工作簿/02_实施任务!A34:O34；S35、S36、S31</t>
        </is>
      </c>
    </row>
    <row r="35" ht="110" customHeight="1">
      <c r="A35" s="4" t="inlineStr">
        <is>
          <t>T030</t>
        </is>
      </c>
      <c r="B35" s="4" t="inlineStr">
        <is>
          <t>P0｜MediaProjection实时采集与前台服务</t>
        </is>
      </c>
      <c r="C35" s="4" t="inlineStr">
        <is>
          <t>未开始</t>
        </is>
      </c>
      <c r="D35" s="4" t="str"/>
      <c r="E35" s="4" t="inlineStr">
        <is>
          <t>P10</t>
        </is>
      </c>
      <c r="F35" s="4">
        <f>'01_闭环计划'!D16</f>
        <v/>
      </c>
      <c r="G35" s="4" t="inlineStr">
        <is>
          <t>未提供证据记录</t>
        </is>
      </c>
      <c r="H35" s="4" t="inlineStr">
        <is>
          <t>复用已有代码/测试；按新包验收，未提供的证据不推定通过。</t>
        </is>
      </c>
      <c r="I35" s="4" t="inlineStr">
        <is>
          <t>验收1：有授权可连续视频
验收2：拒绝授权不崩溃不假在线
验收3：进程死亡后重新授权路径明确</t>
        </is>
      </c>
      <c r="J35" s="4" t="inlineStr">
        <is>
          <t>CaptureState=IDLE/NEEDS_CONSENT/ACTIVE/STOPPED/ERROR；真实能力上报。</t>
        </is>
      </c>
      <c r="K35" s="4" t="inlineStr">
        <is>
          <t>T008、T029</t>
        </is>
      </c>
      <c r="L35" s="4" t="inlineStr">
        <is>
          <t>原工作簿/02_实施任务!A35:O35；S32、S37、S30</t>
        </is>
      </c>
    </row>
    <row r="36" ht="110" customHeight="1">
      <c r="A36" s="4" t="inlineStr">
        <is>
          <t>T031</t>
        </is>
      </c>
      <c r="B36" s="4" t="inlineStr">
        <is>
          <t>P1｜WebRTC连接、编码和弱网自适应</t>
        </is>
      </c>
      <c r="C36" s="4" t="inlineStr">
        <is>
          <t>未开始</t>
        </is>
      </c>
      <c r="D36" s="4" t="str"/>
      <c r="E36" s="4" t="inlineStr">
        <is>
          <t>P10</t>
        </is>
      </c>
      <c r="F36" s="4">
        <f>'01_闭环计划'!D16</f>
        <v/>
      </c>
      <c r="G36" s="4" t="inlineStr">
        <is>
          <t>未提供证据记录</t>
        </is>
      </c>
      <c r="H36" s="4" t="inlineStr">
        <is>
          <t>复用已有代码/测试；按新包验收，未提供的证据不推定通过。</t>
        </is>
      </c>
      <c r="I36" s="4" t="inlineStr">
        <is>
          <t>验收1：强制relay可用
验收2：网络恢复不重启自动任务
验收3：无viewer时无持续高码率上传</t>
        </is>
      </c>
      <c r="J36" s="4" t="inlineStr">
        <is>
          <t>RealtimeStatsV1；视频媒体走WebRTC，任务与素材仍走既有HTTPS通道。</t>
        </is>
      </c>
      <c r="K36" s="4" t="inlineStr">
        <is>
          <t>T030、T029</t>
        </is>
      </c>
      <c r="L36" s="4" t="inlineStr">
        <is>
          <t>原工作簿/02_实施任务!A36:O36；S36、S35、S32</t>
        </is>
      </c>
    </row>
    <row r="37" ht="110" customHeight="1">
      <c r="A37" s="4" t="inlineStr">
        <is>
          <t>T032</t>
        </is>
      </c>
      <c r="B37" s="4" t="inlineStr">
        <is>
          <t>P0｜可复用实时播放器与设备切换隔离</t>
        </is>
      </c>
      <c r="C37" s="4" t="inlineStr">
        <is>
          <t>未开始</t>
        </is>
      </c>
      <c r="D37" s="4" t="str"/>
      <c r="E37" s="4" t="inlineStr">
        <is>
          <t>P10</t>
        </is>
      </c>
      <c r="F37" s="4">
        <f>'01_闭环计划'!D16</f>
        <v/>
      </c>
      <c r="G37" s="4" t="inlineStr">
        <is>
          <t>未提供证据记录</t>
        </is>
      </c>
      <c r="H37" s="4" t="inlineStr">
        <is>
          <t>复用已有代码/测试；按新包验收，未提供的证据不推定通过。</t>
        </is>
      </c>
      <c r="I37" s="4" t="inlineStr">
        <is>
          <t>验收1：连续切A/B不串屏
验收2：断网显示卡顿而不是假实时
验收3：主界面真实视频</t>
        </is>
      </c>
      <c r="J37" s="4" t="inlineStr">
        <is>
          <t>DeviceLiveScreen提供只读默认模式；控制通过独立租约能力传入。</t>
        </is>
      </c>
      <c r="K37" s="4" t="inlineStr">
        <is>
          <t>T031</t>
        </is>
      </c>
      <c r="L37" s="4" t="inlineStr">
        <is>
          <t>原工作簿/02_实施任务!A37:O37；S21、S36</t>
        </is>
      </c>
    </row>
    <row r="38" ht="110" customHeight="1">
      <c r="A38" s="4" t="inlineStr">
        <is>
          <t>T033</t>
        </is>
      </c>
      <c r="B38" s="4" t="inlineStr">
        <is>
          <t>P1｜长时间观看、重连和授权状态闭环</t>
        </is>
      </c>
      <c r="C38" s="4" t="inlineStr">
        <is>
          <t>未开始</t>
        </is>
      </c>
      <c r="D38" s="4" t="str"/>
      <c r="E38" s="4" t="inlineStr">
        <is>
          <t>P12</t>
        </is>
      </c>
      <c r="F38" s="4">
        <f>'01_闭环计划'!D18</f>
        <v/>
      </c>
      <c r="G38" s="4" t="inlineStr">
        <is>
          <t>未提供证据记录</t>
        </is>
      </c>
      <c r="H38" s="4" t="inlineStr">
        <is>
          <t>复用已有代码/测试；按新包验收，未提供的证据不推定通过。</t>
        </is>
      </c>
      <c r="I38" s="4" t="inlineStr">
        <is>
          <t>验收1：30分钟观看不因120秒预览过期中断
验收2：重连不多建capture
验收3：授权丢失明确可见</t>
        </is>
      </c>
      <c r="J38" s="4" t="inlineStr">
        <is>
          <t>会话TTL/grace为配置；长期云端素材保留不代表永久维持录屏服务。</t>
        </is>
      </c>
      <c r="K38" s="4" t="inlineStr">
        <is>
          <t>T032、T030</t>
        </is>
      </c>
      <c r="L38" s="4" t="inlineStr">
        <is>
          <t>原工作簿/02_实施任务!A38:O38；S32、S21</t>
        </is>
      </c>
    </row>
    <row r="39" ht="110" customHeight="1">
      <c r="A39" s="4" t="inlineStr">
        <is>
          <t>T034</t>
        </is>
      </c>
      <c r="B39" s="4" t="inlineStr">
        <is>
          <t>P0｜独立写控制权和时效命令协议</t>
        </is>
      </c>
      <c r="C39" s="4" t="inlineStr">
        <is>
          <t>未开始</t>
        </is>
      </c>
      <c r="D39" s="4" t="str"/>
      <c r="E39" s="4" t="inlineStr">
        <is>
          <t>P11</t>
        </is>
      </c>
      <c r="F39" s="4">
        <f>'01_闭环计划'!D17</f>
        <v/>
      </c>
      <c r="G39" s="4" t="inlineStr">
        <is>
          <t>未提供证据记录</t>
        </is>
      </c>
      <c r="H39" s="4" t="inlineStr">
        <is>
          <t>复用已有代码/测试；按新包验收，未提供的证据不推定通过。</t>
        </is>
      </c>
      <c r="I39" s="4" t="inlineStr">
        <is>
          <t>验收1：看屏不占writer
验收2：旧epoch命令无法落地
验收3：点击后断网不在重连时补点击</t>
        </is>
      </c>
      <c r="J39" s="4" t="inlineStr">
        <is>
          <t>RemoteCommand{sessionId,controlEpoch,seq,ttlMs,viewportVersion,action,args}；RemoteAck{seq,status,executedAt}。</t>
        </is>
      </c>
      <c r="K39" s="4" t="inlineStr">
        <is>
          <t>T026、T029、T016</t>
        </is>
      </c>
      <c r="L39" s="4" t="inlineStr">
        <is>
          <t>原工作簿/02_实施任务!A39:O39；S36、S04</t>
        </is>
      </c>
    </row>
    <row r="40" ht="110" customHeight="1">
      <c r="A40" s="4" t="inlineStr">
        <is>
          <t>T035</t>
        </is>
      </c>
      <c r="B40" s="4" t="inlineStr">
        <is>
          <t>P0｜手势和系统键能力</t>
        </is>
      </c>
      <c r="C40" s="4" t="inlineStr">
        <is>
          <t>未开始</t>
        </is>
      </c>
      <c r="D40" s="4" t="str"/>
      <c r="E40" s="4" t="inlineStr">
        <is>
          <t>P11</t>
        </is>
      </c>
      <c r="F40" s="4">
        <f>'01_闭环计划'!D17</f>
        <v/>
      </c>
      <c r="G40" s="4" t="inlineStr">
        <is>
          <t>未提供证据记录</t>
        </is>
      </c>
      <c r="H40" s="4" t="inlineStr">
        <is>
          <t>复用已有代码/测试；按新包验收，未提供的证据不推定通过。</t>
        </is>
      </c>
      <c r="I40" s="4" t="inlineStr">
        <is>
          <t>验收1：可Home并操作其它App
验收2：竖横屏映射正确
验收3：AUTO未暂停无法远控</t>
        </is>
      </c>
      <c r="J40" s="4" t="inlineStr">
        <is>
          <t>通用远控原语受REMOTE许可；自动化原语受command/platform许可。</t>
        </is>
      </c>
      <c r="K40" s="4" t="inlineStr">
        <is>
          <t>T034、T020</t>
        </is>
      </c>
      <c r="L40" s="4" t="inlineStr">
        <is>
          <t>原工作簿/02_实施任务!A40:O40；S28、S36</t>
        </is>
      </c>
    </row>
    <row r="41" ht="110" customHeight="1">
      <c r="A41" s="4" t="inlineStr">
        <is>
          <t>T036</t>
        </is>
      </c>
      <c r="B41" s="4" t="inlineStr">
        <is>
          <t>P0｜屏幕操作面板与交还自动化</t>
        </is>
      </c>
      <c r="C41" s="4" t="inlineStr">
        <is>
          <t>未开始</t>
        </is>
      </c>
      <c r="D41" s="4" t="str"/>
      <c r="E41" s="4" t="inlineStr">
        <is>
          <t>P11</t>
        </is>
      </c>
      <c r="F41" s="4">
        <f>'01_闭环计划'!D17</f>
        <v/>
      </c>
      <c r="G41" s="4" t="inlineStr">
        <is>
          <t>未提供证据记录</t>
        </is>
      </c>
      <c r="H41" s="4" t="inlineStr">
        <is>
          <t>复用已有代码/测试；按新包验收，未提供的证据不推定通过。</t>
        </is>
      </c>
      <c r="I41" s="4" t="inlineStr">
        <is>
          <t>验收1：浏览器缩放不误点
验收2：接管后原taskId可恢复
验收3：关页不偷偷续跑</t>
        </is>
      </c>
      <c r="J41" s="4" t="inlineStr">
        <is>
          <t>独立按钮：仅观看／暂停并接管／交还并继续原任务／取消任务。</t>
        </is>
      </c>
      <c r="K41" s="4" t="inlineStr">
        <is>
          <t>T035、T032、T027</t>
        </is>
      </c>
      <c r="L41" s="4" t="inlineStr">
        <is>
          <t>原工作簿/02_实施任务!A41:O41；S21</t>
        </is>
      </c>
    </row>
    <row r="42" ht="110" customHeight="1">
      <c r="A42" s="4" t="inlineStr">
        <is>
          <t>T037</t>
        </is>
      </c>
      <c r="B42" s="4" t="inlineStr">
        <is>
          <t>P1｜明确能力边界的输入与复制粘贴</t>
        </is>
      </c>
      <c r="C42" s="4" t="inlineStr">
        <is>
          <t>未开始</t>
        </is>
      </c>
      <c r="D42" s="4" t="str"/>
      <c r="E42" s="4" t="inlineStr">
        <is>
          <t>P11</t>
        </is>
      </c>
      <c r="F42" s="4">
        <f>'01_闭环计划'!D17</f>
        <v/>
      </c>
      <c r="G42" s="4" t="inlineStr">
        <is>
          <t>未提供证据记录</t>
        </is>
      </c>
      <c r="H42" s="4" t="inlineStr">
        <is>
          <t>复用已有代码/测试；按新包验收，未提供的证据不推定通过。</t>
        </is>
      </c>
      <c r="I42" s="4" t="inlineStr">
        <is>
          <t>验收1：中文文本可写
验收2：受限复制清楚提示
验收3：日志不泄露剪贴板内容</t>
        </is>
      </c>
      <c r="J42" s="4" t="inlineStr">
        <is>
          <t>ClipboardBridge是显式用户动作；不承诺所有App的双向实时剪贴板。</t>
        </is>
      </c>
      <c r="K42" s="4" t="inlineStr">
        <is>
          <t>T035、T036</t>
        </is>
      </c>
      <c r="L42" s="4" t="inlineStr">
        <is>
          <t>原工作簿/02_实施任务!A42:O42；S33、S28</t>
        </is>
      </c>
    </row>
    <row r="43" ht="110" customHeight="1">
      <c r="A43" s="4" t="inlineStr">
        <is>
          <t>T038</t>
        </is>
      </c>
      <c r="B43" s="4" t="inlineStr">
        <is>
          <t>P1｜设备卡片、能力和任务观察接入</t>
        </is>
      </c>
      <c r="C43" s="4" t="inlineStr">
        <is>
          <t>未开始</t>
        </is>
      </c>
      <c r="D43" s="4" t="str"/>
      <c r="E43" s="4" t="inlineStr">
        <is>
          <t>P12</t>
        </is>
      </c>
      <c r="F43" s="4">
        <f>'01_闭环计划'!D18</f>
        <v/>
      </c>
      <c r="G43" s="4" t="inlineStr">
        <is>
          <t>未提供证据记录</t>
        </is>
      </c>
      <c r="H43" s="4" t="inlineStr">
        <is>
          <t>复用已有代码/测试；按新包验收，未提供的证据不推定通过。</t>
        </is>
      </c>
      <c r="I43" s="4" t="inlineStr">
        <is>
          <t>验收1：任务中能实时看屏
验收2：SIM网络显示真实类型
验收3：缺权限可定位</t>
        </is>
      </c>
      <c r="J43" s="4" t="inlineStr">
        <is>
          <t>GET device detail返回capabilities、accounts、activeTask、networkTelemetry和captureState。</t>
        </is>
      </c>
      <c r="K43" s="4" t="inlineStr">
        <is>
          <t>T028、T032、T036、T008</t>
        </is>
      </c>
      <c r="L43" s="4" t="inlineStr">
        <is>
          <t>原工作簿/02_实施任务!A43:O43；S21、S24</t>
        </is>
      </c>
    </row>
    <row r="44" ht="110" customHeight="1">
      <c r="A44" s="4" t="inlineStr">
        <is>
          <t>T039</t>
        </is>
      </c>
      <c r="B44" s="4" t="inlineStr">
        <is>
          <t>P1｜自动探测版本的定位器采样与回归</t>
        </is>
      </c>
      <c r="C44" s="4" t="inlineStr">
        <is>
          <t>未开始</t>
        </is>
      </c>
      <c r="D44" s="4" t="str"/>
      <c r="E44" s="4" t="inlineStr">
        <is>
          <t>P13</t>
        </is>
      </c>
      <c r="F44" s="4">
        <f>'01_闭环计划'!D19</f>
        <v/>
      </c>
      <c r="G44" s="4" t="inlineStr">
        <is>
          <t>未提供证据记录</t>
        </is>
      </c>
      <c r="H44" s="4" t="inlineStr">
        <is>
          <t>复用已有代码/测试；按新包验收，未提供的证据不推定通过。</t>
        </is>
      </c>
      <c r="I44" s="4" t="inlineStr">
        <is>
          <t>验收1：多匹配拒绝盲点
验收2：App升级后安全暂停
验收3：真机采样可重复运行</t>
        </is>
      </c>
      <c r="J44" s="4" t="inlineStr">
        <is>
          <t>LocatorSet{platform,appVersionRange,pageStates,selectors,postconditions}；脚本新版本须回归fixture。</t>
        </is>
      </c>
      <c r="K44" s="4" t="inlineStr">
        <is>
          <t>T009、T020、T023</t>
        </is>
      </c>
      <c r="L44" s="4" t="inlineStr">
        <is>
          <t>原工作簿/02_实施任务!A44:O44；S29、S28</t>
        </is>
      </c>
    </row>
    <row r="45" ht="110" customHeight="1">
      <c r="A45" s="4" t="inlineStr">
        <is>
          <t>T040</t>
        </is>
      </c>
      <c r="B45" s="4" t="inlineStr">
        <is>
          <t>P0｜复用现有签名/晋级的人工发布流程</t>
        </is>
      </c>
      <c r="C45" s="4" t="inlineStr">
        <is>
          <t>未开始</t>
        </is>
      </c>
      <c r="D45" s="4" t="str"/>
      <c r="E45" s="4" t="inlineStr">
        <is>
          <t>P14</t>
        </is>
      </c>
      <c r="F45" s="4">
        <f>'01_闭环计划'!D20</f>
        <v/>
      </c>
      <c r="G45" s="4" t="inlineStr">
        <is>
          <t>未提供证据记录</t>
        </is>
      </c>
      <c r="H45" s="28" t="inlineStr">
        <is>
          <t>进度口径差异：审阅B052已修；任务仍未开始。只核对相关变更，不自动改状态。</t>
        </is>
      </c>
      <c r="I45" s="4" t="inlineStr">
        <is>
          <t>验收1：未点击发布设备不获生效指令
验收2：篡改包拒绝
验收3：每次发布可审计</t>
        </is>
      </c>
      <c r="J45" s="4" t="inlineStr">
        <is>
          <t>PublishRequest{versionId,targetDeviceIds,idempotencyKey}；已发布包不可原地修改。</t>
        </is>
      </c>
      <c r="K45" s="4" t="inlineStr">
        <is>
          <t>T019、T006、T039</t>
        </is>
      </c>
      <c r="L45" s="4" t="inlineStr">
        <is>
          <t>原工作簿/02_实施任务!A45:O45；S31、S03</t>
        </is>
      </c>
    </row>
    <row r="46" ht="110" customHeight="1">
      <c r="A46" s="4" t="inlineStr">
        <is>
          <t>T041</t>
        </is>
      </c>
      <c r="B46" s="4" t="inlineStr">
        <is>
          <t>P1｜版本查看、验证结果和手动发布按钮</t>
        </is>
      </c>
      <c r="C46" s="4" t="inlineStr">
        <is>
          <t>未开始</t>
        </is>
      </c>
      <c r="D46" s="4" t="str"/>
      <c r="E46" s="4" t="inlineStr">
        <is>
          <t>P14</t>
        </is>
      </c>
      <c r="F46" s="4">
        <f>'01_闭环计划'!D20</f>
        <v/>
      </c>
      <c r="G46" s="4" t="inlineStr">
        <is>
          <t>未提供证据记录</t>
        </is>
      </c>
      <c r="H46" s="28" t="inlineStr">
        <is>
          <t>进度口径差异：审阅B052已修；任务仍未开始。只核对相关变更，不自动改状态。</t>
        </is>
      </c>
      <c r="I46" s="4" t="inlineStr">
        <is>
          <t>验收1：后台点发布才推送
验收2：离线设备可补领
验收3：能追踪每机版本</t>
        </is>
      </c>
      <c r="J46" s="4" t="inlineStr">
        <is>
          <t>不提供自动发布开关作为一期默认；用户要求B流程。</t>
        </is>
      </c>
      <c r="K46" s="4" t="inlineStr">
        <is>
          <t>T040</t>
        </is>
      </c>
      <c r="L46" s="4" t="inlineStr">
        <is>
          <t>原工作簿/02_实施任务!A46:O46；S31</t>
        </is>
      </c>
    </row>
    <row r="47" ht="110" customHeight="1">
      <c r="A47" s="4" t="inlineStr">
        <is>
          <t>T042</t>
        </is>
      </c>
      <c r="B47" s="4" t="inlineStr">
        <is>
          <t>P1｜签名校验、空闲激活与版本回退</t>
        </is>
      </c>
      <c r="C47" s="4" t="inlineStr">
        <is>
          <t>未开始</t>
        </is>
      </c>
      <c r="D47" s="4" t="str"/>
      <c r="E47" s="4" t="inlineStr">
        <is>
          <t>P14</t>
        </is>
      </c>
      <c r="F47" s="4">
        <f>'01_闭环计划'!D20</f>
        <v/>
      </c>
      <c r="G47" s="4" t="inlineStr">
        <is>
          <t>未提供证据记录</t>
        </is>
      </c>
      <c r="H47" s="28" t="inlineStr">
        <is>
          <t>进度口径差异：审阅B052已修；任务仍未开始。只核对相关变更，不自动改状态。</t>
        </is>
      </c>
      <c r="I47" s="4" t="inlineStr">
        <is>
          <t>验收1：下载中断旧版可用
验收2：暂停任务升级后仍可恢复旧版
验收3：无签名包不执行</t>
        </is>
      </c>
      <c r="J47" s="4" t="inlineStr">
        <is>
          <t>版本激活是原子指针切换；历史包保留到所有引用任务结束及保留规则允许删除。</t>
        </is>
      </c>
      <c r="K47" s="4" t="inlineStr">
        <is>
          <t>T040、T023</t>
        </is>
      </c>
      <c r="L47" s="4" t="inlineStr">
        <is>
          <t>原工作簿/02_实施任务!A47:O47；S31、S26</t>
        </is>
      </c>
    </row>
    <row r="48" ht="110" customHeight="1">
      <c r="A48" s="4" t="inlineStr">
        <is>
          <t>T043</t>
        </is>
      </c>
      <c r="B48" s="4" t="inlineStr">
        <is>
          <t>P1｜整包更新与系统安装确认</t>
        </is>
      </c>
      <c r="C48" s="4" t="inlineStr">
        <is>
          <t>未开始</t>
        </is>
      </c>
      <c r="D48" s="4" t="str"/>
      <c r="E48" s="4" t="inlineStr">
        <is>
          <t>P15</t>
        </is>
      </c>
      <c r="F48" s="4">
        <f>'01_闭环计划'!D21</f>
        <v/>
      </c>
      <c r="G48" s="4" t="inlineStr">
        <is>
          <t>未提供证据记录</t>
        </is>
      </c>
      <c r="H48" s="4" t="inlineStr">
        <is>
          <t>复用已有代码/测试；按新包验收，未提供的证据不推定通过。</t>
        </is>
      </c>
      <c r="I48" s="4" t="inlineStr">
        <is>
          <t>验收1：新APK可升级且保留数据
验收2：用户拒绝有状态
验收3：升级不重复执行已提交动作</t>
        </is>
      </c>
      <c r="J48" s="4" t="inlineStr">
        <is>
          <t>APK安装受Android系统政策；Recipe回退不等于Android APK可任意降级。</t>
        </is>
      </c>
      <c r="K48" s="4" t="inlineStr">
        <is>
          <t>T042、T008</t>
        </is>
      </c>
      <c r="L48" s="4" t="inlineStr">
        <is>
          <t>原工作簿/02_实施任务!A48:O48；S34、S30</t>
        </is>
      </c>
    </row>
    <row r="49" ht="110" customHeight="1">
      <c r="A49" s="4" t="inlineStr">
        <is>
          <t>T044</t>
        </is>
      </c>
      <c r="B49" s="4" t="inlineStr">
        <is>
          <t>P0｜统一上传组件替代data/blob业务字段</t>
        </is>
      </c>
      <c r="C49" s="4" t="inlineStr">
        <is>
          <t>未开始</t>
        </is>
      </c>
      <c r="D49" s="4" t="str"/>
      <c r="E49" s="4" t="inlineStr">
        <is>
          <t>P16</t>
        </is>
      </c>
      <c r="F49" s="4">
        <f>'01_闭环计划'!D22</f>
        <v/>
      </c>
      <c r="G49" s="4" t="inlineStr">
        <is>
          <t>未提供证据记录</t>
        </is>
      </c>
      <c r="H49" s="28" t="inlineStr">
        <is>
          <t>进度口径差异：审阅B007,B015已修；任务仍未开始。只核对相关变更，不自动改状态。</t>
        </is>
      </c>
      <c r="I49" s="4" t="inlineStr">
        <is>
          <t>验收1：DB中无data/blob素材
验收2：跨浏览器媒体可用
验收3：上传失败不能伪保存成功</t>
        </is>
      </c>
      <c r="J49" s="4" t="inlineStr">
        <is>
          <t>MediaRef{assetId,kind,mime,size,sha256,order,cover}；临时previewUrl不持久化。</t>
        </is>
      </c>
      <c r="K49" s="4" t="inlineStr">
        <is>
          <t>T005</t>
        </is>
      </c>
      <c r="L49" s="4" t="inlineStr">
        <is>
          <t>原工作簿/02_实施任务!A49:O49；S10、S12、S02</t>
        </is>
      </c>
    </row>
    <row r="50" ht="110" customHeight="1">
      <c r="A50" s="4" t="inlineStr">
        <is>
          <t>T045</t>
        </is>
      </c>
      <c r="B50" s="4" t="inlineStr">
        <is>
          <t>P1｜复用MediaAsset并完善引用和访问校验</t>
        </is>
      </c>
      <c r="C50" s="4" t="inlineStr">
        <is>
          <t>未开始</t>
        </is>
      </c>
      <c r="D50" s="4" t="str"/>
      <c r="E50" s="4" t="inlineStr">
        <is>
          <t>P16</t>
        </is>
      </c>
      <c r="F50" s="4">
        <f>'01_闭环计划'!D22</f>
        <v/>
      </c>
      <c r="G50" s="4" t="inlineStr">
        <is>
          <t>未提供证据记录</t>
        </is>
      </c>
      <c r="H50" s="4" t="inlineStr">
        <is>
          <t>复用已有代码/测试；按新包验收，未提供的证据不推定通过。</t>
        </is>
      </c>
      <c r="I50" s="4" t="inlineStr">
        <is>
          <t>验收1：未完成媒体不能发布
验收2：共享引用不误删
验收3：越权下载403</t>
        </is>
      </c>
      <c r="J50" s="4" t="inlineStr">
        <is>
          <t>主素材长期保留可手删；临时上传清理与业务原件保留区分。</t>
        </is>
      </c>
      <c r="K50" s="4" t="inlineStr">
        <is>
          <t>T044、T006</t>
        </is>
      </c>
      <c r="L50" s="4" t="inlineStr">
        <is>
          <t>原工作簿/02_实施任务!A50:O50；S03、S02、S31</t>
        </is>
      </c>
    </row>
    <row r="51" ht="110" customHeight="1">
      <c r="A51" s="4" t="inlineStr">
        <is>
          <t>T046</t>
        </is>
      </c>
      <c r="B51" s="4" t="inlineStr">
        <is>
          <t>P0｜按任务和设备绑定素材下发</t>
        </is>
      </c>
      <c r="C51" s="4" t="inlineStr">
        <is>
          <t>未开始</t>
        </is>
      </c>
      <c r="D51" s="4" t="str"/>
      <c r="E51" s="4" t="inlineStr">
        <is>
          <t>P17</t>
        </is>
      </c>
      <c r="F51" s="4">
        <f>'01_闭环计划'!D23</f>
        <v/>
      </c>
      <c r="G51" s="4" t="inlineStr">
        <is>
          <t>未提供证据记录</t>
        </is>
      </c>
      <c r="H51" s="4" t="inlineStr">
        <is>
          <t>复用已有代码/测试；按新包验收，未提供的证据不推定通过。</t>
        </is>
      </c>
      <c r="I51" s="4" t="inlineStr">
        <is>
          <t>验收1：同租户越设备素材访问被拒
验收2：合法断点重试成功
验收3：过期被拒</t>
        </is>
      </c>
      <c r="J51" s="4" t="inlineStr">
        <is>
          <t>MediaDeliveryManifest含assetId/path或URL/mime/size/sha256；URL不能作为额外授权来源。</t>
        </is>
      </c>
      <c r="K51" s="4" t="inlineStr">
        <is>
          <t>T045、T015、T007</t>
        </is>
      </c>
      <c r="L51" s="4" t="inlineStr">
        <is>
          <t>原工作簿/02_实施任务!A51:O51；S04、S05</t>
        </is>
      </c>
    </row>
    <row r="52" ht="110" customHeight="1">
      <c r="A52" s="4" t="inlineStr">
        <is>
          <t>T047</t>
        </is>
      </c>
      <c r="B52" s="4" t="inlineStr">
        <is>
          <t>P0｜续租期间流式下载与任务媒体清单</t>
        </is>
      </c>
      <c r="C52" s="4" t="inlineStr">
        <is>
          <t>未开始</t>
        </is>
      </c>
      <c r="D52" s="4" t="str"/>
      <c r="E52" s="4" t="inlineStr">
        <is>
          <t>P17</t>
        </is>
      </c>
      <c r="F52" s="4">
        <f>'01_闭环计划'!D23</f>
        <v/>
      </c>
      <c r="G52" s="4" t="inlineStr">
        <is>
          <t>未提供证据记录</t>
        </is>
      </c>
      <c r="H52" s="28" t="inlineStr">
        <is>
          <t>进度口径差异：审阅B025已修；任务仍未开始。只核对相关变更，不自动改状态。</t>
        </is>
      </c>
      <c r="I52" s="4" t="inlineStr">
        <is>
          <t>验收1：大视频下载不断租
验收2：中断重试不选半文件
验收3：内存不随视频大小线性增长</t>
        </is>
      </c>
      <c r="J52" s="4" t="inlineStr">
        <is>
          <t>LocalMediaManifest{taskId,snapshotHash,assetId,localPath,hash,ready}。</t>
        </is>
      </c>
      <c r="K52" s="4" t="inlineStr">
        <is>
          <t>T046、T016、T021</t>
        </is>
      </c>
      <c r="L52" s="4" t="inlineStr">
        <is>
          <t>原工作簿/02_实施任务!A52:O52；S25、S04</t>
        </is>
      </c>
    </row>
    <row r="53" ht="110" customHeight="1">
      <c r="A53" s="4" t="inlineStr">
        <is>
          <t>T048</t>
        </is>
      </c>
      <c r="B53" s="4" t="inlineStr">
        <is>
          <t>P0｜确定性选取本任务图片与视频</t>
        </is>
      </c>
      <c r="C53" s="4" t="inlineStr">
        <is>
          <t>未开始</t>
        </is>
      </c>
      <c r="D53" s="4" t="str"/>
      <c r="E53" s="4" t="inlineStr">
        <is>
          <t>P17</t>
        </is>
      </c>
      <c r="F53" s="4">
        <f>'01_闭环计划'!D23</f>
        <v/>
      </c>
      <c r="G53" s="4" t="inlineStr">
        <is>
          <t>未提供证据记录</t>
        </is>
      </c>
      <c r="H53" s="4" t="inlineStr">
        <is>
          <t>复用已有代码/测试；按新包验收，未提供的证据不推定通过。</t>
        </is>
      </c>
      <c r="I53" s="4" t="inlineStr">
        <is>
          <t>验收1：有旧图库仍只选任务素材
验收2：顺序正确
验收3：不会误删用户照片</t>
        </is>
      </c>
      <c r="J53" s="4" t="inlineStr">
        <is>
          <t>PickerAdapter属于版本化recipe；无法稳定定位则待适配，不能盲目点击图库索引。</t>
        </is>
      </c>
      <c r="K53" s="4" t="inlineStr">
        <is>
          <t>T047、T039</t>
        </is>
      </c>
      <c r="L53" s="4" t="inlineStr">
        <is>
          <t>原工作簿/02_实施任务!A53:O53；S29、S28</t>
        </is>
      </c>
    </row>
    <row r="54" ht="110" customHeight="1">
      <c r="A54" s="4" t="inlineStr">
        <is>
          <t>T049</t>
        </is>
      </c>
      <c r="B54" s="4" t="inlineStr">
        <is>
          <t>P1｜电脑上传并推送手机文件箱</t>
        </is>
      </c>
      <c r="C54" s="4" t="inlineStr">
        <is>
          <t>未开始</t>
        </is>
      </c>
      <c r="D54" s="4" t="str"/>
      <c r="E54" s="4" t="inlineStr">
        <is>
          <t>P18</t>
        </is>
      </c>
      <c r="F54" s="4">
        <f>'01_闭环计划'!D24</f>
        <v/>
      </c>
      <c r="G54" s="4" t="inlineStr">
        <is>
          <t>未提供证据记录</t>
        </is>
      </c>
      <c r="H54" s="4" t="inlineStr">
        <is>
          <t>复用已有代码/测试；按新包验收，未提供的证据不推定通过。</t>
        </is>
      </c>
      <c r="I54" s="4" t="inlineStr">
        <is>
          <t>验收1：电脑图片视频可到指定手机
验收2：跨设备隔离
验收3：删除本机不误删云端</t>
        </is>
      </c>
      <c r="J54" s="4" t="inlineStr">
        <is>
          <t>FilePush{assetIds,deviceId,destination=APP_BOX|MEDIA_ALBUM}；非任意文件系统远程访问。</t>
        </is>
      </c>
      <c r="K54" s="4" t="inlineStr">
        <is>
          <t>T046、T047、T036</t>
        </is>
      </c>
      <c r="L54" s="4" t="inlineStr">
        <is>
          <t>原工作簿/02_实施任务!A54:O54；S04</t>
        </is>
      </c>
    </row>
    <row r="55" ht="110" customHeight="1">
      <c r="A55" s="4" t="inlineStr">
        <is>
          <t>T050</t>
        </is>
      </c>
      <c r="B55" s="4" t="inlineStr">
        <is>
          <t>P1｜截图与失败现场上传查看</t>
        </is>
      </c>
      <c r="C55" s="4" t="inlineStr">
        <is>
          <t>未开始</t>
        </is>
      </c>
      <c r="D55" s="4" t="str"/>
      <c r="E55" s="4" t="inlineStr">
        <is>
          <t>P18</t>
        </is>
      </c>
      <c r="F55" s="4">
        <f>'01_闭环计划'!D24</f>
        <v/>
      </c>
      <c r="G55" s="4" t="inlineStr">
        <is>
          <t>未提供证据记录</t>
        </is>
      </c>
      <c r="H55" s="28" t="inlineStr">
        <is>
          <t>进度口径差异：审阅B028已修；任务仍未开始。只核对相关变更，不自动改状态。</t>
        </is>
      </c>
      <c r="I55" s="4" t="inlineStr">
        <is>
          <t>验收1：网页可看具体step截图
验收2：失败无截图仍可诊断
验收3：跨租户403</t>
        </is>
      </c>
      <c r="J55" s="4" t="inlineStr">
        <is>
          <t>直播不是录制；任务证据/用户保存截图是明确持久化对象。</t>
        </is>
      </c>
      <c r="K55" s="4" t="inlineStr">
        <is>
          <t>T045、T014、T022</t>
        </is>
      </c>
      <c r="L55" s="4" t="inlineStr">
        <is>
          <t>原工作簿/02_实施任务!A55:O55；S27、S26、S02</t>
        </is>
      </c>
    </row>
    <row r="56" ht="110" customHeight="1">
      <c r="A56" s="4" t="inlineStr">
        <is>
          <t>T051</t>
        </is>
      </c>
      <c r="B56" s="4" t="inlineStr">
        <is>
          <t>P1｜持久化现有水印全部有效字段</t>
        </is>
      </c>
      <c r="C56" s="4" t="inlineStr">
        <is>
          <t>未开始</t>
        </is>
      </c>
      <c r="D56" s="4" t="str"/>
      <c r="E56" s="4" t="inlineStr">
        <is>
          <t>P19</t>
        </is>
      </c>
      <c r="F56" s="4">
        <f>'01_闭环计划'!D25</f>
        <v/>
      </c>
      <c r="G56" s="4" t="inlineStr">
        <is>
          <t>未提供证据记录</t>
        </is>
      </c>
      <c r="H56" s="4" t="inlineStr">
        <is>
          <t>复用已有代码/测试；按新包验收，未提供的证据不推定通过。</t>
        </is>
      </c>
      <c r="I56" s="4" t="inlineStr">
        <is>
          <t>验收1：换浏览器配置一致
验收2：改水印不改旧任务
验收3：未知变量拒绝</t>
        </is>
      </c>
      <c r="J56" s="4" t="inlineStr">
        <is>
          <t>WatermarkProfileRevision{text/image/variables,position,scale,opacity,margin,...}。</t>
        </is>
      </c>
      <c r="K56" s="4" t="inlineStr">
        <is>
          <t>T045、T010</t>
        </is>
      </c>
      <c r="L56" s="4" t="inlineStr">
        <is>
          <t>原工作簿/02_实施任务!A56:O56；S23、S03</t>
        </is>
      </c>
    </row>
    <row r="57" ht="110" customHeight="1">
      <c r="A57" s="4" t="inlineStr">
        <is>
          <t>T052</t>
        </is>
      </c>
      <c r="B57" s="4" t="inlineStr">
        <is>
          <t>P1｜复用派生媒体工作流生成确定素材</t>
        </is>
      </c>
      <c r="C57" s="4" t="inlineStr">
        <is>
          <t>未开始</t>
        </is>
      </c>
      <c r="D57" s="4" t="str"/>
      <c r="E57" s="4" t="inlineStr">
        <is>
          <t>P19</t>
        </is>
      </c>
      <c r="F57" s="4">
        <f>'01_闭环计划'!D25</f>
        <v/>
      </c>
      <c r="G57" s="4" t="inlineStr">
        <is>
          <t>未提供证据记录</t>
        </is>
      </c>
      <c r="H57" s="4" t="inlineStr">
        <is>
          <t>复用已有代码/测试；按新包验收，未提供的证据不推定通过。</t>
        </is>
      </c>
      <c r="I57" s="4" t="inlineStr">
        <is>
          <t>验收1：同输入输出可复用
验收2：原图不变
验收3：处理失败任务不错误开跑</t>
        </is>
      </c>
      <c r="J57" s="4" t="inlineStr">
        <is>
          <t>最终TaskSnapshot冻结outputAssetIds；水印不是APK发布时随机处理。</t>
        </is>
      </c>
      <c r="K57" s="4" t="inlineStr">
        <is>
          <t>T051、T015</t>
        </is>
      </c>
      <c r="L57" s="4" t="inlineStr">
        <is>
          <t>原工作簿/02_实施任务!A57:O57；S31、S23、S03</t>
        </is>
      </c>
    </row>
    <row r="58" ht="110" customHeight="1">
      <c r="A58" s="4" t="inlineStr">
        <is>
          <t>T053</t>
        </is>
      </c>
      <c r="B58" s="4" t="inlineStr">
        <is>
          <t>P1｜水印页面接配置与真实预览</t>
        </is>
      </c>
      <c r="C58" s="4" t="inlineStr">
        <is>
          <t>未开始</t>
        </is>
      </c>
      <c r="D58" s="4" t="str"/>
      <c r="E58" s="4" t="inlineStr">
        <is>
          <t>P19</t>
        </is>
      </c>
      <c r="F58" s="4">
        <f>'01_闭环计划'!D25</f>
        <v/>
      </c>
      <c r="G58" s="4" t="inlineStr">
        <is>
          <t>未提供证据记录</t>
        </is>
      </c>
      <c r="H58" s="4" t="inlineStr">
        <is>
          <t>复用已有代码/测试；按新包验收，未提供的证据不推定通过。</t>
        </is>
      </c>
      <c r="I58" s="4" t="inlineStr">
        <is>
          <t>验收1：配置和预览真实可恢复
验收2：发布使用预览所对应规则
验收3：生产不写水印localStorage</t>
        </is>
      </c>
      <c r="J58" s="4" t="inlineStr">
        <is>
          <t>所有当前启用水印控件须映射后端字段；不支持项不可假保存。</t>
        </is>
      </c>
      <c r="K58" s="4" t="inlineStr">
        <is>
          <t>T052</t>
        </is>
      </c>
      <c r="L58" s="4" t="inlineStr">
        <is>
          <t>原工作簿/02_实施任务!A58:O58；S23</t>
        </is>
      </c>
    </row>
    <row r="59" ht="110" customHeight="1">
      <c r="A59" s="4" t="inlineStr">
        <is>
          <t>T054</t>
        </is>
      </c>
      <c r="B59" s="4" t="inlineStr">
        <is>
          <t>P1｜资源池和设备绑定后端模型</t>
        </is>
      </c>
      <c r="C59" s="4" t="inlineStr">
        <is>
          <t>未开始</t>
        </is>
      </c>
      <c r="D59" s="4" t="str"/>
      <c r="E59" s="4" t="inlineStr">
        <is>
          <t>P20</t>
        </is>
      </c>
      <c r="F59" s="4">
        <f>'01_闭环计划'!D26</f>
        <v/>
      </c>
      <c r="G59" s="4" t="inlineStr">
        <is>
          <t>未提供证据记录</t>
        </is>
      </c>
      <c r="H59" s="4" t="inlineStr">
        <is>
          <t>复用已有代码/测试；按新包验收，未提供的证据不推定通过。</t>
        </is>
      </c>
      <c r="I59" s="4" t="inlineStr">
        <is>
          <t>验收1：旧任务池内容不漂移
验收2：跨设备绑定正确
验收3：空池不能随机生成假地址</t>
        </is>
      </c>
      <c r="J59" s="4" t="inlineStr">
        <is>
          <t>PoolSelectionSnapshot{poolId,poolRevision,itemId,itemRevision,resolvedValue,selectionSeed}。</t>
        </is>
      </c>
      <c r="K59" s="4" t="inlineStr">
        <is>
          <t>T006、T010</t>
        </is>
      </c>
      <c r="L59" s="4" t="inlineStr">
        <is>
          <t>原工作簿/02_实施任务!A59:O59；S20、S02</t>
        </is>
      </c>
    </row>
    <row r="60" ht="110" customHeight="1">
      <c r="A60" s="4" t="inlineStr">
        <is>
          <t>T055</t>
        </is>
      </c>
      <c r="B60" s="4" t="inlineStr">
        <is>
          <t>P1｜地址池编辑、绑定与任务选用</t>
        </is>
      </c>
      <c r="C60" s="4" t="inlineStr">
        <is>
          <t>未开始</t>
        </is>
      </c>
      <c r="D60" s="4" t="str"/>
      <c r="E60" s="4" t="inlineStr">
        <is>
          <t>P20</t>
        </is>
      </c>
      <c r="F60" s="4">
        <f>'01_闭环计划'!D26</f>
        <v/>
      </c>
      <c r="G60" s="4" t="inlineStr">
        <is>
          <t>未提供证据记录</t>
        </is>
      </c>
      <c r="H60" s="4" t="inlineStr">
        <is>
          <t>复用已有代码/测试；按新包验收，未提供的证据不推定通过。</t>
        </is>
      </c>
      <c r="I60" s="4" t="inlineStr">
        <is>
          <t>验收1：跨浏览器一致
验收2：设备池优先可配置
验收3：实际选择可追溯</t>
        </is>
      </c>
      <c r="J60" s="4" t="inlineStr">
        <is>
          <t>地址是业务数据；手机执行按可见平台入口设置，不改GPS/不伪造定位系统。</t>
        </is>
      </c>
      <c r="K60" s="4" t="inlineStr">
        <is>
          <t>T054</t>
        </is>
      </c>
      <c r="L60" s="4" t="inlineStr">
        <is>
          <t>原工作簿/02_实施任务!A60:O60；S20</t>
        </is>
      </c>
    </row>
    <row r="61" ht="110" customHeight="1">
      <c r="A61" s="4" t="inlineStr">
        <is>
          <t>T056</t>
        </is>
      </c>
      <c r="B61" s="4" t="inlineStr">
        <is>
          <t>P1｜描述模板后端化与变量渲染</t>
        </is>
      </c>
      <c r="C61" s="4" t="inlineStr">
        <is>
          <t>未开始</t>
        </is>
      </c>
      <c r="D61" s="4" t="str"/>
      <c r="E61" s="4" t="inlineStr">
        <is>
          <t>P20</t>
        </is>
      </c>
      <c r="F61" s="4">
        <f>'01_闭环计划'!D26</f>
        <v/>
      </c>
      <c r="G61" s="4" t="inlineStr">
        <is>
          <t>未提供证据记录</t>
        </is>
      </c>
      <c r="H61" s="4" t="inlineStr">
        <is>
          <t>复用已有代码/测试；按新包验收，未提供的证据不推定通过。</t>
        </is>
      </c>
      <c r="I61" s="4" t="inlineStr">
        <is>
          <t>验收1：同任务重试描述不变
验收2：未知变量拒绝
验收3：模板跨浏览器一致</t>
        </is>
      </c>
      <c r="J61" s="4" t="inlineStr">
        <is>
          <t>最终文本进入snapshot；不让APK联网查询“最新描述”。</t>
        </is>
      </c>
      <c r="K61" s="4" t="inlineStr">
        <is>
          <t>T054</t>
        </is>
      </c>
      <c r="L61" s="4" t="inlineStr">
        <is>
          <t>原工作簿/02_实施任务!A61:O61；S20</t>
        </is>
      </c>
    </row>
    <row r="62" ht="110" customHeight="1">
      <c r="A62" s="4" t="inlineStr">
        <is>
          <t>T057</t>
        </is>
      </c>
      <c r="B62" s="4" t="inlineStr">
        <is>
          <t>P1｜标签CRUD与确定性抽取</t>
        </is>
      </c>
      <c r="C62" s="4" t="inlineStr">
        <is>
          <t>未开始</t>
        </is>
      </c>
      <c r="D62" s="4" t="str"/>
      <c r="E62" s="4" t="inlineStr">
        <is>
          <t>P20</t>
        </is>
      </c>
      <c r="F62" s="4">
        <f>'01_闭环计划'!D26</f>
        <v/>
      </c>
      <c r="G62" s="4" t="inlineStr">
        <is>
          <t>未提供证据记录</t>
        </is>
      </c>
      <c r="H62" s="4" t="inlineStr">
        <is>
          <t>复用已有代码/测试；按新包验收，未提供的证据不推定通过。</t>
        </is>
      </c>
      <c r="I62" s="4" t="inlineStr">
        <is>
          <t>验收1：任务标签稳定
验收2：重复标签不误增
验收3：无可用标签给明确错误</t>
        </is>
      </c>
      <c r="J62" s="4" t="inlineStr">
        <is>
          <t>SelectedTagsSnapshot保留原文本与平台渲染文本。</t>
        </is>
      </c>
      <c r="K62" s="4" t="inlineStr">
        <is>
          <t>T054</t>
        </is>
      </c>
      <c r="L62" s="4" t="inlineStr">
        <is>
          <t>原工作簿/02_实施任务!A62:O62；S20</t>
        </is>
      </c>
    </row>
    <row r="63" ht="110" customHeight="1">
      <c r="A63" s="4" t="inlineStr">
        <is>
          <t>T058</t>
        </is>
      </c>
      <c r="B63" s="4" t="inlineStr">
        <is>
          <t>P0｜修复价格类型和商品分组外键</t>
        </is>
      </c>
      <c r="C63" s="4" t="inlineStr">
        <is>
          <t>未开始</t>
        </is>
      </c>
      <c r="D63" s="4" t="str"/>
      <c r="E63" s="4" t="inlineStr">
        <is>
          <t>P21</t>
        </is>
      </c>
      <c r="F63" s="4">
        <f>'01_闭环计划'!D27</f>
        <v/>
      </c>
      <c r="G63" s="4" t="inlineStr">
        <is>
          <t>未提供证据记录</t>
        </is>
      </c>
      <c r="H63" s="28" t="inlineStr">
        <is>
          <t>进度口径差异：审阅B001已修；任务仍未开始。只核对相关变更，不自动改状态。</t>
        </is>
      </c>
      <c r="I63" s="4" t="inlineStr">
        <is>
          <t>验收1：价格20至100区间正确
验收2：商品分组不再引用帖子ID
验收3：脏值报告可追踪</t>
        </is>
      </c>
      <c r="J63" s="4" t="inlineStr">
        <is>
          <t>price_cents为数值事实；兼容旧price输出时由Decimal格式化；商品分组和内容分组分表。</t>
        </is>
      </c>
      <c r="K63" s="4" t="inlineStr">
        <is>
          <t>T001、T003</t>
        </is>
      </c>
      <c r="L63" s="4" t="inlineStr">
        <is>
          <t>原工作簿/02_实施任务!A63:O63；S03、S02</t>
        </is>
      </c>
    </row>
    <row r="64" ht="110" customHeight="1">
      <c r="A64" s="4" t="inlineStr">
        <is>
          <t>T059</t>
        </is>
      </c>
      <c r="B64" s="4" t="inlineStr">
        <is>
          <t>P0｜CRUD、分页和批量事务一致性</t>
        </is>
      </c>
      <c r="C64" s="4" t="inlineStr">
        <is>
          <t>未开始</t>
        </is>
      </c>
      <c r="D64" s="4" t="str"/>
      <c r="E64" s="4" t="inlineStr">
        <is>
          <t>P21</t>
        </is>
      </c>
      <c r="F64" s="4">
        <f>'01_闭环计划'!D27</f>
        <v/>
      </c>
      <c r="G64" s="4" t="inlineStr">
        <is>
          <t>未提供证据记录</t>
        </is>
      </c>
      <c r="H64" s="4" t="inlineStr">
        <is>
          <t>复用已有代码/测试；按新包验收，未提供的证据不推定通过。</t>
        </is>
      </c>
      <c r="I64" s="4" t="inlineStr">
        <is>
          <t>验收1：100商品页SQL常数级
验收2：单删批删保护一致
验收3：非法金额库存拒绝</t>
        </is>
      </c>
      <c r="J64" s="4" t="inlineStr">
        <is>
          <t>分页pageSize上限100为设计默认；batch API同一事务或显式逐项状态，不隐式部分成功。</t>
        </is>
      </c>
      <c r="K64" s="4" t="inlineStr">
        <is>
          <t>T058、T045、T006</t>
        </is>
      </c>
      <c r="L64" s="4" t="inlineStr">
        <is>
          <t>原工作簿/02_实施任务!A64:O64；S02、S03、S08</t>
        </is>
      </c>
    </row>
    <row r="65" ht="110" customHeight="1">
      <c r="A65" s="4" t="inlineStr">
        <is>
          <t>T060</t>
        </is>
      </c>
      <c r="B65" s="4" t="inlineStr">
        <is>
          <t>P1｜分组CRUD与批量membership接通</t>
        </is>
      </c>
      <c r="C65" s="4" t="inlineStr">
        <is>
          <t>未开始</t>
        </is>
      </c>
      <c r="D65" s="4" t="str"/>
      <c r="E65" s="4" t="inlineStr">
        <is>
          <t>P21</t>
        </is>
      </c>
      <c r="F65" s="4">
        <f>'01_闭环计划'!D27</f>
        <v/>
      </c>
      <c r="G65" s="4" t="inlineStr">
        <is>
          <t>未提供证据记录</t>
        </is>
      </c>
      <c r="H65" s="28" t="inlineStr">
        <is>
          <t>进度口径差异：审阅B001已修；任务仍未开始。只核对相关变更，不自动改状态。</t>
        </is>
      </c>
      <c r="I65" s="4" t="inlineStr">
        <is>
          <t>验收1：FK开启批量分组成功
验收2：更名不改类别
验收3：跨浏览器分组一致</t>
        </is>
      </c>
      <c r="J65" s="4" t="inlineStr">
        <is>
          <t>ProductGroupMembership(group_id,product_id)唯一；前端显示名不作主键。</t>
        </is>
      </c>
      <c r="K65" s="4" t="inlineStr">
        <is>
          <t>T058、T059</t>
        </is>
      </c>
      <c r="L65" s="4" t="inlineStr">
        <is>
          <t>原工作簿/02_实施任务!A65:O65；S19、S02、S03</t>
        </is>
      </c>
    </row>
    <row r="66" ht="110" customHeight="1">
      <c r="A66" s="4" t="inlineStr">
        <is>
          <t>T061</t>
        </is>
      </c>
      <c r="B66" s="4" t="inlineStr">
        <is>
          <t>P0｜编辑页完整字段持久化</t>
        </is>
      </c>
      <c r="C66" s="4" t="inlineStr">
        <is>
          <t>未开始</t>
        </is>
      </c>
      <c r="D66" s="4" t="str"/>
      <c r="E66" s="4" t="inlineStr">
        <is>
          <t>P21</t>
        </is>
      </c>
      <c r="F66" s="4">
        <f>'01_闭环计划'!D27</f>
        <v/>
      </c>
      <c r="G66" s="4" t="inlineStr">
        <is>
          <t>未提供证据记录</t>
        </is>
      </c>
      <c r="H66" s="28" t="inlineStr">
        <is>
          <t>进度口径差异：审阅B007已修；任务仍未开始。只核对相关变更，不自动改状态。</t>
        </is>
      </c>
      <c r="I66" s="4" t="inlineStr">
        <is>
          <t>验收1：编辑转新建不覆盖旧记录
验收2：媒体可被手机使用
验收3：所有一期启用字段有roundtrip测试</t>
        </is>
      </c>
      <c r="J66" s="4" t="inlineStr">
        <is>
          <t>ProductEditorV2 field-map需附源码实际字段名，不能仅完成title/price就宣布整页完成。</t>
        </is>
      </c>
      <c r="K66" s="4" t="inlineStr">
        <is>
          <t>T059、T060、T044、T054、T051</t>
        </is>
      </c>
      <c r="L66" s="4" t="inlineStr">
        <is>
          <t>原工作簿/02_实施任务!A66:O66；S10、S08</t>
        </is>
      </c>
    </row>
    <row r="67" ht="110" customHeight="1">
      <c r="A67" s="4" t="inlineStr">
        <is>
          <t>T062</t>
        </is>
      </c>
      <c r="B67" s="4" t="inlineStr">
        <is>
          <t>P1｜真实列表、筛选、复制和批量操作</t>
        </is>
      </c>
      <c r="C67" s="4" t="inlineStr">
        <is>
          <t>未开始</t>
        </is>
      </c>
      <c r="D67" s="4" t="str"/>
      <c r="E67" s="4" t="inlineStr">
        <is>
          <t>P21</t>
        </is>
      </c>
      <c r="F67" s="4">
        <f>'01_闭环计划'!D27</f>
        <v/>
      </c>
      <c r="G67" s="4" t="inlineStr">
        <is>
          <t>未提供证据记录</t>
        </is>
      </c>
      <c r="H67" s="28" t="inlineStr">
        <is>
          <t>进度口径差异：审阅B005,B006已修；任务仍未开始。只核对相关变更，不自动改状态。</t>
        </is>
      </c>
      <c r="I67" s="4" t="inlineStr">
        <is>
          <t>验收1：409后不继续删除
验收2：复制有媒体
验收3：价格筛选正确</t>
        </is>
      </c>
      <c r="J67" s="4" t="inlineStr">
        <is>
          <t>前端缓存仅优化读取，不是商品事实库。</t>
        </is>
      </c>
      <c r="K67" s="4" t="inlineStr">
        <is>
          <t>T059、T060</t>
        </is>
      </c>
      <c r="L67" s="4" t="inlineStr">
        <is>
          <t>原工作簿/02_实施任务!A67:O67；S08、S02</t>
        </is>
      </c>
    </row>
    <row r="68" ht="110" customHeight="1">
      <c r="A68" s="4" t="inlineStr">
        <is>
          <t>T063</t>
        </is>
      </c>
      <c r="B68" s="4" t="inlineStr">
        <is>
          <t>P1｜导入预检与行级结果格式</t>
        </is>
      </c>
      <c r="C68" s="4" t="inlineStr">
        <is>
          <t>未开始</t>
        </is>
      </c>
      <c r="D68" s="4" t="str"/>
      <c r="E68" s="4" t="inlineStr">
        <is>
          <t>P22</t>
        </is>
      </c>
      <c r="F68" s="4">
        <f>'01_闭环计划'!D28</f>
        <v/>
      </c>
      <c r="G68" s="4" t="inlineStr">
        <is>
          <t>未提供证据记录</t>
        </is>
      </c>
      <c r="H68" s="4" t="inlineStr">
        <is>
          <t>复用已有代码/测试；按新包验收，未提供的证据不推定通过。</t>
        </is>
      </c>
      <c r="I68" s="4" t="inlineStr">
        <is>
          <t>验收1：第50行错误可定位
验收2：同名不同目录不覆盖
验收3：无媒体不假称成功</t>
        </is>
      </c>
      <c r="J68" s="4" t="inlineStr">
        <is>
          <t>ImportPreview{batchId,validRows,rowErrors,assetPlan}；ImportCommit引用已验证版本。</t>
        </is>
      </c>
      <c r="K68" s="4" t="inlineStr">
        <is>
          <t>T059、T045</t>
        </is>
      </c>
      <c r="L68" s="4" t="inlineStr">
        <is>
          <t>原工作簿/02_实施任务!A68:O68；S11、S02</t>
        </is>
      </c>
    </row>
    <row r="69" ht="110" customHeight="1">
      <c r="A69" s="4" t="inlineStr">
        <is>
          <t>T064</t>
        </is>
      </c>
      <c r="B69" s="4" t="inlineStr">
        <is>
          <t>P1｜批次幂等、媒体导入与事务提交</t>
        </is>
      </c>
      <c r="C69" s="4" t="inlineStr">
        <is>
          <t>未开始</t>
        </is>
      </c>
      <c r="D69" s="4" t="str"/>
      <c r="E69" s="4" t="inlineStr">
        <is>
          <t>P22</t>
        </is>
      </c>
      <c r="F69" s="4">
        <f>'01_闭环计划'!D28</f>
        <v/>
      </c>
      <c r="G69" s="4" t="inlineStr">
        <is>
          <t>未提供证据记录</t>
        </is>
      </c>
      <c r="H69" s="4" t="inlineStr">
        <is>
          <t>复用已有代码/测试；按新包验收，未提供的证据不推定通过。</t>
        </is>
      </c>
      <c r="I69" s="4" t="inlineStr">
        <is>
          <t>验收1：重复导入不重复商品
验收2：无错误外键
验收3：内网URL被拒</t>
        </is>
      </c>
      <c r="J69" s="4" t="inlineStr">
        <is>
          <t>大文件可分批，但UI必须显示各批已提交事实；不能承诺跨无限行全局事务。</t>
        </is>
      </c>
      <c r="K69" s="4" t="inlineStr">
        <is>
          <t>T063、T060、T046</t>
        </is>
      </c>
      <c r="L69" s="4" t="inlineStr">
        <is>
          <t>原工作簿/02_实施任务!A69:O69；S02、S11</t>
        </is>
      </c>
    </row>
    <row r="70" ht="110" customHeight="1">
      <c r="A70" s="4" t="inlineStr">
        <is>
          <t>T065</t>
        </is>
      </c>
      <c r="B70" s="4" t="inlineStr">
        <is>
          <t>P1｜预览、提交和错误清单</t>
        </is>
      </c>
      <c r="C70" s="4" t="inlineStr">
        <is>
          <t>未开始</t>
        </is>
      </c>
      <c r="D70" s="4" t="str"/>
      <c r="E70" s="4" t="inlineStr">
        <is>
          <t>P22</t>
        </is>
      </c>
      <c r="F70" s="4">
        <f>'01_闭环计划'!D28</f>
        <v/>
      </c>
      <c r="G70" s="4" t="inlineStr">
        <is>
          <t>未提供证据记录</t>
        </is>
      </c>
      <c r="H70" s="4" t="inlineStr">
        <is>
          <t>复用已有代码/测试；按新包验收，未提供的证据不推定通过。</t>
        </is>
      </c>
      <c r="I70" s="4" t="inlineStr">
        <is>
          <t>验收1：刷新可恢复进度
验收2：错误能定位行
验收3：所有媒体形成asset引用</t>
        </is>
      </c>
      <c r="J70" s="4" t="inlineStr">
        <is>
          <t>操作成功来自ImportBatch终态，不是本地for循环结束。</t>
        </is>
      </c>
      <c r="K70" s="4" t="inlineStr">
        <is>
          <t>T064</t>
        </is>
      </c>
      <c r="L70" s="4" t="inlineStr">
        <is>
          <t>原工作簿/02_实施任务!A70:O70；S11</t>
        </is>
      </c>
    </row>
    <row r="71" ht="110" customHeight="1">
      <c r="A71" s="4" t="inlineStr">
        <is>
          <t>T066</t>
        </is>
      </c>
      <c r="B71" s="4" t="inlineStr">
        <is>
          <t>P1｜一次性迁移旧浏览器数据</t>
        </is>
      </c>
      <c r="C71" s="4" t="inlineStr">
        <is>
          <t>未开始</t>
        </is>
      </c>
      <c r="D71" s="4" t="str"/>
      <c r="E71" s="4" t="inlineStr">
        <is>
          <t>P23</t>
        </is>
      </c>
      <c r="F71" s="4">
        <f>'01_闭环计划'!D29</f>
        <v/>
      </c>
      <c r="G71" s="4" t="inlineStr">
        <is>
          <t>未提供证据记录</t>
        </is>
      </c>
      <c r="H71" s="4" t="inlineStr">
        <is>
          <t>复用已有代码/测试；按新包验收，未提供的证据不推定通过。</t>
        </is>
      </c>
      <c r="I71" s="4" t="inlineStr">
        <is>
          <t>验收1：重复迁移不重复
验收2：模拟任务不被执行
验收3：缺失视频明确报告</t>
        </is>
      </c>
      <c r="J71" s="4" t="inlineStr">
        <is>
          <t>不可恢复blob不能伪造素材；数据导入不是任务补发。</t>
        </is>
      </c>
      <c r="K71" s="4" t="inlineStr">
        <is>
          <t>T060、T054、T051</t>
        </is>
      </c>
      <c r="L71" s="4" t="inlineStr">
        <is>
          <t>原工作簿/02_实施任务!A71:O71；S08、S09、S19</t>
        </is>
      </c>
    </row>
    <row r="72" ht="110" customHeight="1">
      <c r="A72" s="4" t="inlineStr">
        <is>
          <t>T067</t>
        </is>
      </c>
      <c r="B72" s="4" t="inlineStr">
        <is>
          <t>P0｜内容修订、标题和真实归档</t>
        </is>
      </c>
      <c r="C72" s="4" t="inlineStr">
        <is>
          <t>未开始</t>
        </is>
      </c>
      <c r="D72" s="4" t="str"/>
      <c r="E72" s="4" t="inlineStr">
        <is>
          <t>P24</t>
        </is>
      </c>
      <c r="F72" s="4">
        <f>'01_闭环计划'!D30</f>
        <v/>
      </c>
      <c r="G72" s="4" t="inlineStr">
        <is>
          <t>未提供证据记录</t>
        </is>
      </c>
      <c r="H72" s="28" t="inlineStr">
        <is>
          <t>进度口径差异：审阅B012已修；任务仍未开始。只核对相关变更，不自动改状态。</t>
        </is>
      </c>
      <c r="I72" s="4" t="inlineStr">
        <is>
          <t>验收1：列表详情revision标题一致
验收2：删除不复活
验收3：分页只需常数请求</t>
        </is>
      </c>
      <c r="J72" s="4" t="inlineStr">
        <is>
          <t>PostRevisionV2为发布输入；列表title不是另一套可不同步真相。</t>
        </is>
      </c>
      <c r="K72" s="4" t="inlineStr">
        <is>
          <t>T003、T045、T006</t>
        </is>
      </c>
      <c r="L72" s="4" t="inlineStr">
        <is>
          <t>原工作簿/02_实施任务!A72:O72；S09、S02、S03</t>
        </is>
      </c>
    </row>
    <row r="73" ht="110" customHeight="1">
      <c r="A73" s="4" t="inlineStr">
        <is>
          <t>T068</t>
        </is>
      </c>
      <c r="B73" s="4" t="inlineStr">
        <is>
          <t>P1｜完整编辑器与媒体资产接入</t>
        </is>
      </c>
      <c r="C73" s="4" t="inlineStr">
        <is>
          <t>未开始</t>
        </is>
      </c>
      <c r="D73" s="4" t="str"/>
      <c r="E73" s="4" t="inlineStr">
        <is>
          <t>P24</t>
        </is>
      </c>
      <c r="F73" s="4">
        <f>'01_闭环计划'!D30</f>
        <v/>
      </c>
      <c r="G73" s="4" t="inlineStr">
        <is>
          <t>未提供证据记录</t>
        </is>
      </c>
      <c r="H73" s="28" t="inlineStr">
        <is>
          <t>进度口径差异：审阅B015已修；任务仍未开始。只核对相关变更，不自动改状态。</t>
        </is>
      </c>
      <c r="I73" s="4" t="inlineStr">
        <is>
          <t>验收1：刷新媒体可用
验收2：标题不回退
验收3：编辑后发布引用正确revision</t>
        </is>
      </c>
      <c r="J73" s="4" t="inlineStr">
        <is>
          <t>只编辑不等于发布；发布动作单独有明确任务创建。</t>
        </is>
      </c>
      <c r="K73" s="4" t="inlineStr">
        <is>
          <t>T067、T044</t>
        </is>
      </c>
      <c r="L73" s="4" t="inlineStr">
        <is>
          <t>原工作簿/02_实施任务!A73:O73；S12、S09</t>
        </is>
      </c>
    </row>
    <row r="74" ht="110" customHeight="1">
      <c r="A74" s="4" t="inlineStr">
        <is>
          <t>T069</t>
        </is>
      </c>
      <c r="B74" s="4" t="inlineStr">
        <is>
          <t>P1｜列表、分组和删除真实接通</t>
        </is>
      </c>
      <c r="C74" s="4" t="inlineStr">
        <is>
          <t>未开始</t>
        </is>
      </c>
      <c r="D74" s="4" t="str"/>
      <c r="E74" s="4" t="inlineStr">
        <is>
          <t>P24</t>
        </is>
      </c>
      <c r="F74" s="4">
        <f>'01_闭环计划'!D30</f>
        <v/>
      </c>
      <c r="G74" s="4" t="inlineStr">
        <is>
          <t>未提供证据记录</t>
        </is>
      </c>
      <c r="H74" s="28" t="inlineStr">
        <is>
          <t>进度口径差异：审阅B012已修；任务仍未开始。只核对相关变更，不自动改状态。</t>
        </is>
      </c>
      <c r="I74" s="4" t="inlineStr">
        <is>
          <t>验收1：删除后服务端归档
验收2：分组一致
验收3：无N+1详情请求</t>
        </is>
      </c>
      <c r="J74" s="4" t="inlineStr">
        <is>
          <t>后端contents/groups为唯一真相；前端store仅缓存。</t>
        </is>
      </c>
      <c r="K74" s="4" t="inlineStr">
        <is>
          <t>T067</t>
        </is>
      </c>
      <c r="L74" s="4" t="inlineStr">
        <is>
          <t>原工作簿/02_实施任务!A74:O74；S09、S02</t>
        </is>
      </c>
    </row>
    <row r="75" ht="110" customHeight="1">
      <c r="A75" s="4" t="inlineStr">
        <is>
          <t>T070</t>
        </is>
      </c>
      <c r="B75" s="4" t="inlineStr">
        <is>
          <t>P1｜CSV/Excel文本转义与导入边界</t>
        </is>
      </c>
      <c r="C75" s="4" t="inlineStr">
        <is>
          <t>未开始</t>
        </is>
      </c>
      <c r="D75" s="4" t="str"/>
      <c r="E75" s="4" t="inlineStr">
        <is>
          <t>P22</t>
        </is>
      </c>
      <c r="F75" s="4">
        <f>'01_闭环计划'!D28</f>
        <v/>
      </c>
      <c r="G75" s="4" t="inlineStr">
        <is>
          <t>未提供证据记录</t>
        </is>
      </c>
      <c r="H75" s="4" t="inlineStr">
        <is>
          <t>复用已有代码/测试；按新包验收，未提供的证据不推定通过。</t>
        </is>
      </c>
      <c r="I75" s="4" t="inlineStr">
        <is>
          <t>验收1：Excel打开无外部公式执行
验收2：金额仍可计算
验收3：越权字段不导出</t>
        </is>
      </c>
      <c r="J75" s="4" t="inlineStr">
        <is>
          <t>导出安全处理作用于序列化层，不修改原始商品文案。</t>
        </is>
      </c>
      <c r="K75" s="4" t="inlineStr">
        <is>
          <t>T063、T067</t>
        </is>
      </c>
      <c r="L75" s="4" t="inlineStr">
        <is>
          <t>原工作簿/02_实施任务!A75:O75；S11、S02</t>
        </is>
      </c>
    </row>
    <row r="76" ht="110" customHeight="1">
      <c r="A76" s="4" t="inlineStr">
        <is>
          <t>T071</t>
        </is>
      </c>
      <c r="B76" s="4" t="inlineStr">
        <is>
          <t>P0｜单一发布笔记命令与所有入口复用</t>
        </is>
      </c>
      <c r="C76" s="4" t="inlineStr">
        <is>
          <t>未开始</t>
        </is>
      </c>
      <c r="D76" s="4" t="str"/>
      <c r="E76" s="4" t="inlineStr">
        <is>
          <t>P25</t>
        </is>
      </c>
      <c r="F76" s="4">
        <f>'01_闭环计划'!D31</f>
        <v/>
      </c>
      <c r="G76" s="4" t="inlineStr">
        <is>
          <t>未提供证据记录</t>
        </is>
      </c>
      <c r="H76" s="4" t="inlineStr">
        <is>
          <t>复用已有代码/测试；按新包验收，未提供的证据不推定通过。</t>
        </is>
      </c>
      <c r="I76" s="4" t="inlineStr">
        <is>
          <t>验收1：两入口生成同类真实任务
验收2：双击幂等
验收3：改帖不改变旧快照</t>
        </is>
      </c>
      <c r="J76" s="4" t="inlineStr">
        <is>
          <t>xhs.publish_note.v1；result含mode、平台可得noteId/url、时间与证据；不可得字段null+reason。</t>
        </is>
      </c>
      <c r="K76" s="4" t="inlineStr">
        <is>
          <t>T067、T012、T015、T046、T010</t>
        </is>
      </c>
      <c r="L76" s="4" t="inlineStr">
        <is>
          <t>原工作簿/02_实施任务!A76:O76；S13、S06、S04</t>
        </is>
      </c>
    </row>
    <row r="77" ht="110" customHeight="1">
      <c r="A77" s="4" t="inlineStr">
        <is>
          <t>T072</t>
        </is>
      </c>
      <c r="B77" s="4" t="inlineStr">
        <is>
          <t>P1｜启动、账号核验与发布页归一化</t>
        </is>
      </c>
      <c r="C77" s="4" t="inlineStr">
        <is>
          <t>未开始</t>
        </is>
      </c>
      <c r="D77" s="4" t="str"/>
      <c r="E77" s="4" t="inlineStr">
        <is>
          <t>P26</t>
        </is>
      </c>
      <c r="F77" s="4">
        <f>'01_闭环计划'!D32</f>
        <v/>
      </c>
      <c r="G77" s="4" t="inlineStr">
        <is>
          <t>未提供证据记录</t>
        </is>
      </c>
      <c r="H77" s="4" t="inlineStr">
        <is>
          <t>复用已有代码/测试；按新包验收，未提供的证据不推定通过。</t>
        </is>
      </c>
      <c r="I77" s="4" t="inlineStr">
        <is>
          <t>验收1：桌面起点可启动
验收2：账号错时不发布
验收3：未知弹窗可接管</t>
        </is>
      </c>
      <c r="J77" s="4" t="inlineStr">
        <is>
          <t>账号识别只采最小必要字段；未知状态返回PAUSED_WAITING_USER而非乱点。</t>
        </is>
      </c>
      <c r="K77" s="4" t="inlineStr">
        <is>
          <t>T071、T039、T021</t>
        </is>
      </c>
      <c r="L77" s="4" t="inlineStr">
        <is>
          <t>原工作簿/02_实施任务!A77:O77；S29、S28</t>
        </is>
      </c>
    </row>
    <row r="78" ht="110" customHeight="1">
      <c r="A78" s="4" t="inlineStr">
        <is>
          <t>T073</t>
        </is>
      </c>
      <c r="B78" s="4" t="inlineStr">
        <is>
          <t>P0｜多图选择与标题正文标签填入</t>
        </is>
      </c>
      <c r="C78" s="4" t="inlineStr">
        <is>
          <t>未开始</t>
        </is>
      </c>
      <c r="D78" s="4" t="str"/>
      <c r="E78" s="4" t="inlineStr">
        <is>
          <t>P26</t>
        </is>
      </c>
      <c r="F78" s="4">
        <f>'01_闭环计划'!D32</f>
        <v/>
      </c>
      <c r="G78" s="4" t="inlineStr">
        <is>
          <t>未提供证据记录</t>
        </is>
      </c>
      <c r="H78" s="4" t="inlineStr">
        <is>
          <t>复用已有代码/测试；按新包验收，未提供的证据不推定通过。</t>
        </is>
      </c>
      <c r="I78" s="4" t="inlineStr">
        <is>
          <t>验收1：有旧图库仍选对
验收2：文案标签读回一致
验收3：中断后不重新选重复图片</t>
        </is>
      </c>
      <c r="J78" s="4" t="inlineStr">
        <is>
          <t>图文Recipe不包含未经commit_guard保护的最终发布点击。</t>
        </is>
      </c>
      <c r="K78" s="4" t="inlineStr">
        <is>
          <t>T072、T048、T023</t>
        </is>
      </c>
      <c r="L78" s="4" t="inlineStr">
        <is>
          <t>原工作簿/02_实施任务!A78:O78；S13、S29</t>
        </is>
      </c>
    </row>
    <row r="79" ht="110" customHeight="1">
      <c r="A79" s="4" t="inlineStr">
        <is>
          <t>T074</t>
        </is>
      </c>
      <c r="B79" s="4" t="inlineStr">
        <is>
          <t>P1｜视频选择、处理等待和封面</t>
        </is>
      </c>
      <c r="C79" s="4" t="inlineStr">
        <is>
          <t>未开始</t>
        </is>
      </c>
      <c r="D79" s="4" t="str"/>
      <c r="E79" s="4" t="inlineStr">
        <is>
          <t>P27</t>
        </is>
      </c>
      <c r="F79" s="4">
        <f>'01_闭环计划'!D33</f>
        <v/>
      </c>
      <c r="G79" s="4" t="inlineStr">
        <is>
          <t>未提供证据记录</t>
        </is>
      </c>
      <c r="H79" s="4" t="inlineStr">
        <is>
          <t>复用已有代码/测试；按新包验收，未提供的证据不推定通过。</t>
        </is>
      </c>
      <c r="I79" s="4" t="inlineStr">
        <is>
          <t>验收1：真实视频笔记可发布
验收2：转码慢不假成功
验收3：恢复不重复导入</t>
        </is>
      </c>
      <c r="J79" s="4" t="inlineStr">
        <is>
          <t>VIDEO模式为一期素材能力；平台不支持的格式明确错误，不能静默丢弃视频。</t>
        </is>
      </c>
      <c r="K79" s="4" t="inlineStr">
        <is>
          <t>T072、T048、T023</t>
        </is>
      </c>
      <c r="L79" s="4" t="inlineStr">
        <is>
          <t>原工作簿/02_实施任务!A79:O79；S12、S13</t>
        </is>
      </c>
    </row>
    <row r="80" ht="110" customHeight="1">
      <c r="A80" s="4" t="inlineStr">
        <is>
          <t>T075</t>
        </is>
      </c>
      <c r="B80" s="4" t="inlineStr">
        <is>
          <t>P0｜发布/草稿成功判断和恢复</t>
        </is>
      </c>
      <c r="C80" s="4" t="inlineStr">
        <is>
          <t>未开始</t>
        </is>
      </c>
      <c r="D80" s="4" t="str"/>
      <c r="E80" s="4" t="inlineStr">
        <is>
          <t>P26</t>
        </is>
      </c>
      <c r="F80" s="4">
        <f>'01_闭环计划'!D32</f>
        <v/>
      </c>
      <c r="G80" s="4" t="inlineStr">
        <is>
          <t>未提供证据记录</t>
        </is>
      </c>
      <c r="H80" s="4" t="inlineStr">
        <is>
          <t>复用已有代码/测试；按新包验收，未提供的证据不推定通过。</t>
        </is>
      </c>
      <c r="I80" s="4" t="inlineStr">
        <is>
          <t>验收1：DIRECT真实发布
验收2：DRAFT不误发布
验收3：丢complete不重复发</t>
        </is>
      </c>
      <c r="J80" s="4" t="inlineStr">
        <is>
          <t>draft保存和实际发布两种结果不能混用；未知提交结果不是FAILED可随意重试。</t>
        </is>
      </c>
      <c r="K80" s="4" t="inlineStr">
        <is>
          <t>T073、T074、T024、T025、T050</t>
        </is>
      </c>
      <c r="L80" s="4" t="inlineStr">
        <is>
          <t>原工作簿/02_实施任务!A80:O80；S13、S26</t>
        </is>
      </c>
    </row>
    <row r="81" ht="110" customHeight="1">
      <c r="A81" s="4" t="inlineStr">
        <is>
          <t>T076</t>
        </is>
      </c>
      <c r="B81" s="4" t="inlineStr">
        <is>
          <t>P0｜选择帖子设备、下发和看执行</t>
        </is>
      </c>
      <c r="C81" s="4" t="inlineStr">
        <is>
          <t>未开始</t>
        </is>
      </c>
      <c r="D81" s="4" t="str"/>
      <c r="E81" s="4" t="inlineStr">
        <is>
          <t>P25</t>
        </is>
      </c>
      <c r="F81" s="4">
        <f>'01_闭环计划'!D31</f>
        <v/>
      </c>
      <c r="G81" s="4" t="inlineStr">
        <is>
          <t>未提供证据记录</t>
        </is>
      </c>
      <c r="H81" s="4" t="inlineStr">
        <is>
          <t>复用已有代码/测试；按新包验收，未提供的证据不推定通过。</t>
        </is>
      </c>
      <c r="I81" s="4" t="inlineStr">
        <is>
          <t>验收1：电脑创作→手机发布→网页结果闭环
验收2：定时可用
验收3：观看不影响执行</t>
        </is>
      </c>
      <c r="J81" s="4" t="inlineStr">
        <is>
          <t>发布页不自行生成点击步骤；云端不逐步控制小红书UI。</t>
        </is>
      </c>
      <c r="K81" s="4" t="inlineStr">
        <is>
          <t>T071、T075、T028、T038</t>
        </is>
      </c>
      <c r="L81" s="4" t="inlineStr">
        <is>
          <t>原工作簿/02_实施任务!A81:O81；S13</t>
        </is>
      </c>
    </row>
    <row r="82" ht="110" customHeight="1">
      <c r="A82" s="4" t="inlineStr">
        <is>
          <t>T077</t>
        </is>
      </c>
      <c r="B82" s="4" t="inlineStr">
        <is>
          <t>P0｜所有闲鱼任务工厂和页面字段映射</t>
        </is>
      </c>
      <c r="C82" s="4" t="inlineStr">
        <is>
          <t>未开始</t>
        </is>
      </c>
      <c r="D82" s="4" t="str"/>
      <c r="E82" s="4" t="inlineStr">
        <is>
          <t>P01</t>
        </is>
      </c>
      <c r="F82" s="4">
        <f>'01_闭环计划'!D7</f>
        <v/>
      </c>
      <c r="G82" s="101" t="inlineStr">
        <is>
          <t>未提供证据记录
2026-09-08 T077：command_factory映射31项；operationId mint；未接线命令422。device-probe真机ca985a89 SUCCEEDED。</t>
        </is>
      </c>
      <c r="H82" s="4" t="inlineStr">
        <is>
          <t>复用已有代码/测试；按新包验收，未提供的证据不推定通过。</t>
        </is>
      </c>
      <c r="I82" s="4" t="inlineStr">
        <is>
          <t>验收1：所有kind有schema和路由映射
验收2：旧blocked功能纳入开发
验收3：不启用无实现字段</t>
        </is>
      </c>
      <c r="J82" s="4" t="inlineStr">
        <is>
          <t>xianyu.*.v1参数按动作分型；选择“只打开页面”必须返回OPEN_ONLY而非执行成功。</t>
        </is>
      </c>
      <c r="K82" s="4" t="inlineStr">
        <is>
          <t>T012、T013、T039、T020、T010</t>
        </is>
      </c>
      <c r="L82" s="4" t="inlineStr">
        <is>
          <t>原工作簿/02_实施任务!A82:O82；S15、S16、S17、S20</t>
        </is>
      </c>
    </row>
    <row r="83" ht="110" customHeight="1">
      <c r="A83" s="4" t="inlineStr">
        <is>
          <t>T078</t>
        </is>
      </c>
      <c r="B83" s="4" t="inlineStr">
        <is>
          <t>P0｜完整商品发布快照与接口</t>
        </is>
      </c>
      <c r="C83" s="4" t="inlineStr">
        <is>
          <t>未开始</t>
        </is>
      </c>
      <c r="D83" s="4" t="str"/>
      <c r="E83" s="4" t="inlineStr">
        <is>
          <t>P28</t>
        </is>
      </c>
      <c r="F83" s="4">
        <f>'01_闭环计划'!D34</f>
        <v/>
      </c>
      <c r="G83" s="4" t="inlineStr">
        <is>
          <t>未提供证据记录</t>
        </is>
      </c>
      <c r="H83" s="4" t="inlineStr">
        <is>
          <t>复用已有代码/测试；按新包验收，未提供的证据不推定通过。</t>
        </is>
      </c>
      <c r="I83" s="4" t="inlineStr">
        <is>
          <t>验收1：快照可独立解释发什么
验收2：UI字段不丢
验收3：响应与真实发布行为一致</t>
        </is>
      </c>
      <c r="J83" s="4" t="inlineStr">
        <is>
          <t>XianyuPublishSnapshotV1记录productRevision、resolved文案/地址/标签、outputAssets、mode、bindingVersion。</t>
        </is>
      </c>
      <c r="K83" s="4" t="inlineStr">
        <is>
          <t>T077、T061、T052、T055、T056、T057、T046</t>
        </is>
      </c>
      <c r="L83" s="4" t="inlineStr">
        <is>
          <t>原工作簿/02_实施任务!A83:O83；S14、S18、S07、S02</t>
        </is>
      </c>
    </row>
    <row r="84" ht="110" customHeight="1">
      <c r="A84" s="4" t="inlineStr">
        <is>
          <t>T079</t>
        </is>
      </c>
      <c r="B84" s="4" t="inlineStr">
        <is>
          <t>P0｜启动闲鱼、媒体选择和字段填写</t>
        </is>
      </c>
      <c r="C84" s="4" t="inlineStr">
        <is>
          <t>未开始</t>
        </is>
      </c>
      <c r="D84" s="4" t="str"/>
      <c r="E84" s="4" t="inlineStr">
        <is>
          <t>P28</t>
        </is>
      </c>
      <c r="F84" s="4">
        <f>'01_闭环计划'!D34</f>
        <v/>
      </c>
      <c r="G84" s="4" t="inlineStr">
        <is>
          <t>未提供证据记录</t>
        </is>
      </c>
      <c r="H84" s="4" t="inlineStr">
        <is>
          <t>复用已有代码/测试；按新包验收，未提供的证据不推定通过。</t>
        </is>
      </c>
      <c r="I84" s="4" t="inlineStr">
        <is>
          <t>验收1：从桌面自动拉起
验收2：选图无错
验收3：输入字段与快照一致</t>
        </is>
      </c>
      <c r="J84" s="4" t="inlineStr">
        <is>
          <t>发布填写与最终提交明确分离；所有定位引用已发布版本包。</t>
        </is>
      </c>
      <c r="K84" s="4" t="inlineStr">
        <is>
          <t>T078、T021、T048、T023</t>
        </is>
      </c>
      <c r="L84" s="4" t="inlineStr">
        <is>
          <t>原工作簿/02_实施任务!A84:O84；S07、S29、S18</t>
        </is>
      </c>
    </row>
    <row r="85" ht="110" customHeight="1">
      <c r="A85" s="4" t="inlineStr">
        <is>
          <t>T080</t>
        </is>
      </c>
      <c r="B85" s="4" t="inlineStr">
        <is>
          <t>P0｜直发/草稿、提交判定与结果</t>
        </is>
      </c>
      <c r="C85" s="4" t="inlineStr">
        <is>
          <t>未开始</t>
        </is>
      </c>
      <c r="D85" s="4" t="str"/>
      <c r="E85" s="4" t="inlineStr">
        <is>
          <t>P28</t>
        </is>
      </c>
      <c r="F85" s="4">
        <f>'01_闭环计划'!D34</f>
        <v/>
      </c>
      <c r="G85" s="4" t="inlineStr">
        <is>
          <t>未提供证据记录</t>
        </is>
      </c>
      <c r="H85" s="4" t="inlineStr">
        <is>
          <t>复用已有代码/测试；按新包验收，未提供的证据不推定通过。</t>
        </is>
      </c>
      <c r="I85" s="4" t="inlineStr">
        <is>
          <t>验收1：实际直发与草稿行为匹配
验收2：不重复发布
验收3：旧API也遵守单writer</t>
        </is>
      </c>
      <c r="J85" s="4" t="inlineStr">
        <is>
          <t>XianyuPublishResult{mode,status,listingId?,publishedAt?,snapshotHash,evidenceRefs}。</t>
        </is>
      </c>
      <c r="K85" s="4" t="inlineStr">
        <is>
          <t>T079、T024、T025、T050</t>
        </is>
      </c>
      <c r="L85" s="4" t="inlineStr">
        <is>
          <t>原工作簿/02_实施任务!A85:O85；S07、S02、S26</t>
        </is>
      </c>
    </row>
    <row r="86" ht="110" customHeight="1">
      <c r="A86" s="4" t="inlineStr">
        <is>
          <t>T081</t>
        </is>
      </c>
      <c r="B86" s="4" t="inlineStr">
        <is>
          <t>P1｜真实下发、排队和执行观察</t>
        </is>
      </c>
      <c r="C86" s="4" t="inlineStr">
        <is>
          <t>未开始</t>
        </is>
      </c>
      <c r="D86" s="4" t="str"/>
      <c r="E86" s="4" t="inlineStr">
        <is>
          <t>P28</t>
        </is>
      </c>
      <c r="F86" s="4">
        <f>'01_闭环计划'!D34</f>
        <v/>
      </c>
      <c r="G86" s="4" t="inlineStr">
        <is>
          <t>未提供证据记录</t>
        </is>
      </c>
      <c r="H86" s="4" t="inlineStr">
        <is>
          <t>复用已有代码/测试；按新包验收，未提供的证据不推定通过。</t>
        </is>
      </c>
      <c r="I86" s="4" t="inlineStr">
        <is>
          <t>验收1：从该页面能真正发布
验收2：刷新有历史
验收3：设置均被消费</t>
        </is>
      </c>
      <c r="J86" s="4" t="inlineStr">
        <is>
          <t>UI保存发布配置可以有后端模板；配置模板不是已创建执行任务。</t>
        </is>
      </c>
      <c r="K86" s="4" t="inlineStr">
        <is>
          <t>T080、T028、T038</t>
        </is>
      </c>
      <c r="L86" s="4" t="inlineStr">
        <is>
          <t>原工作簿/02_实施任务!A86:O86；S14、S18</t>
        </is>
      </c>
    </row>
    <row r="87" ht="110" customHeight="1">
      <c r="A87" s="4" t="inlineStr">
        <is>
          <t>T082</t>
        </is>
      </c>
      <c r="B87" s="4" t="inlineStr">
        <is>
          <t>P1｜擦亮商品真实执行</t>
        </is>
      </c>
      <c r="C87" s="4" t="inlineStr">
        <is>
          <t>未开始</t>
        </is>
      </c>
      <c r="D87" s="4" t="str"/>
      <c r="E87" s="4" t="inlineStr">
        <is>
          <t>P29</t>
        </is>
      </c>
      <c r="F87" s="4">
        <f>'01_闭环计划'!D35</f>
        <v/>
      </c>
      <c r="G87" s="4" t="inlineStr">
        <is>
          <t>未提供证据记录</t>
        </is>
      </c>
      <c r="H87" s="4" t="inlineStr">
        <is>
          <t>复用已有代码/测试；按新包验收，未提供的证据不推定通过。</t>
        </is>
      </c>
      <c r="I87" s="4" t="inlineStr">
        <is>
          <t>验收1：符合条件商品真实擦亮
验收2：已完成不重复
验收3：结果计数与清单一致</t>
        </is>
      </c>
      <c r="J87" s="4" t="inlineStr">
        <is>
          <t>xianyu.polish.v1；字段：目标范围、商品过滤条件、数量/轮次/间隔（严格映射原字段）；结果必须含每item的done/skipped/failed/uncertain与证据，OPEN_ONLY单独状态。</t>
        </is>
      </c>
      <c r="K87" s="4" t="inlineStr">
        <is>
          <t>T077、T023、T024</t>
        </is>
      </c>
      <c r="L87" s="4" t="inlineStr">
        <is>
          <t>原工作簿/02_实施任务!A87:O87；S20、S15、S16、S17、S29</t>
        </is>
      </c>
    </row>
    <row r="88" ht="110" customHeight="1">
      <c r="A88" s="4" t="inlineStr">
        <is>
          <t>T083</t>
        </is>
      </c>
      <c r="B88" s="4" t="inlineStr">
        <is>
          <t>P1｜上架商品</t>
        </is>
      </c>
      <c r="C88" s="4" t="inlineStr">
        <is>
          <t>未开始</t>
        </is>
      </c>
      <c r="D88" s="4" t="str"/>
      <c r="E88" s="4" t="inlineStr">
        <is>
          <t>P29</t>
        </is>
      </c>
      <c r="F88" s="4">
        <f>'01_闭环计划'!D35</f>
        <v/>
      </c>
      <c r="G88" s="4" t="inlineStr">
        <is>
          <t>未提供证据记录</t>
        </is>
      </c>
      <c r="H88" s="4" t="inlineStr">
        <is>
          <t>复用已有代码/测试；按新包验收，未提供的证据不推定通过。</t>
        </is>
      </c>
      <c r="I88" s="4" t="inlineStr">
        <is>
          <t>验收1：目标商品状态真实变在售
验收2：非目标不受影响
验收3：部分失败可追踪</t>
        </is>
      </c>
      <c r="J88" s="4" t="inlineStr">
        <is>
          <t>xianyu.shelf_up.v1；字段：待上架范围、数量、过滤条件、间隔；结果必须含每item的done/skipped/failed/uncertain与证据，OPEN_ONLY单独状态。</t>
        </is>
      </c>
      <c r="K88" s="4" t="inlineStr">
        <is>
          <t>T077、T023、T024</t>
        </is>
      </c>
      <c r="L88" s="4" t="inlineStr">
        <is>
          <t>原工作簿/02_实施任务!A88:O88；S20、S15、S16、S17、S29</t>
        </is>
      </c>
    </row>
    <row r="89" ht="110" customHeight="1">
      <c r="A89" s="4" t="inlineStr">
        <is>
          <t>T084</t>
        </is>
      </c>
      <c r="B89" s="4" t="inlineStr">
        <is>
          <t>P1｜下架商品</t>
        </is>
      </c>
      <c r="C89" s="4" t="inlineStr">
        <is>
          <t>未开始</t>
        </is>
      </c>
      <c r="D89" s="4" t="str"/>
      <c r="E89" s="4" t="inlineStr">
        <is>
          <t>P29</t>
        </is>
      </c>
      <c r="F89" s="4">
        <f>'01_闭环计划'!D35</f>
        <v/>
      </c>
      <c r="G89" s="4" t="inlineStr">
        <is>
          <t>未提供证据记录</t>
        </is>
      </c>
      <c r="H89" s="4" t="inlineStr">
        <is>
          <t>复用已有代码/测试；按新包验收，未提供的证据不推定通过。</t>
        </is>
      </c>
      <c r="I89" s="4" t="inlineStr">
        <is>
          <t>验收1：只下架指定项
验收2：不误删
验收3：丢ACK不盲目二次操作</t>
        </is>
      </c>
      <c r="J89" s="4" t="inlineStr">
        <is>
          <t>xianyu.shelf_down.v1；字段：在售范围、过滤条件、数量、间隔；结果必须含每item的done/skipped/failed/uncertain与证据，OPEN_ONLY单独状态。</t>
        </is>
      </c>
      <c r="K89" s="4" t="inlineStr">
        <is>
          <t>T077、T023、T024</t>
        </is>
      </c>
      <c r="L89" s="4" t="inlineStr">
        <is>
          <t>原工作簿/02_实施任务!A89:O89；S20、S15、S16、S17、S29</t>
        </is>
      </c>
    </row>
    <row r="90" ht="110" customHeight="1">
      <c r="A90" s="4" t="inlineStr">
        <is>
          <t>T085</t>
        </is>
      </c>
      <c r="B90" s="4" t="inlineStr">
        <is>
          <t>P1｜删除商品</t>
        </is>
      </c>
      <c r="C90" s="4" t="inlineStr">
        <is>
          <t>未开始</t>
        </is>
      </c>
      <c r="D90" s="4" t="str"/>
      <c r="E90" s="4" t="inlineStr">
        <is>
          <t>P30</t>
        </is>
      </c>
      <c r="F90" s="4">
        <f>'01_闭环计划'!D36</f>
        <v/>
      </c>
      <c r="G90" s="4" t="inlineStr">
        <is>
          <t>未提供证据记录</t>
        </is>
      </c>
      <c r="H90" s="4" t="inlineStr">
        <is>
          <t>复用已有代码/测试；按新包验收，未提供的证据不推定通过。</t>
        </is>
      </c>
      <c r="I90" s="4" t="inlineStr">
        <is>
          <t>验收1：仅删确认目标
验收2：列表重排不误删
验收3：不可逆动作有证据</t>
        </is>
      </c>
      <c r="J90" s="4" t="inlineStr">
        <is>
          <t>xianyu.delete_goods.v1；字段：目标范围、数量、确认标志、过滤条件；结果必须含每item的done/skipped/failed/uncertain与证据，OPEN_ONLY单独状态。</t>
        </is>
      </c>
      <c r="K90" s="4" t="inlineStr">
        <is>
          <t>T077、T023、T024</t>
        </is>
      </c>
      <c r="L90" s="4" t="inlineStr">
        <is>
          <t>原工作簿/02_实施任务!A90:O90；S20、S15、S16、S17、S29</t>
        </is>
      </c>
    </row>
    <row r="91" ht="110" customHeight="1">
      <c r="A91" s="4" t="inlineStr">
        <is>
          <t>T086</t>
        </is>
      </c>
      <c r="B91" s="4" t="inlineStr">
        <is>
          <t>P1｜绑定闲鱼账号</t>
        </is>
      </c>
      <c r="C91" s="4" t="inlineStr">
        <is>
          <t>未开始</t>
        </is>
      </c>
      <c r="D91" s="4" t="str"/>
      <c r="E91" s="4" t="inlineStr">
        <is>
          <t>P03</t>
        </is>
      </c>
      <c r="F91" s="4">
        <f>'01_闭环计划'!D9</f>
        <v/>
      </c>
      <c r="G91" s="4" t="inlineStr">
        <is>
          <t>未提供证据记录</t>
        </is>
      </c>
      <c r="H91" s="4" t="inlineStr">
        <is>
          <t>复用已有代码/测试；按新包验收，未提供的证据不推定通过。</t>
        </is>
      </c>
      <c r="I91" s="4" t="inlineStr">
        <is>
          <t>验收1：一个闲鱼当前绑定
验收2：旧历史不迁移
验收3：不会泄露密码</t>
        </is>
      </c>
      <c r="J91" s="4" t="inlineStr">
        <is>
          <t>xianyu.bind_account.v1；字段：deviceId、当前平台账号探测、换绑确认、expectedBindingVersion；结果必须含每item的done/skipped/failed/uncertain与证据，OPEN_ONLY单独状态。</t>
        </is>
      </c>
      <c r="K91" s="4" t="inlineStr">
        <is>
          <t>T077、T010、T011、T023</t>
        </is>
      </c>
      <c r="L91" s="4" t="inlineStr">
        <is>
          <t>原工作簿/02_实施任务!A91:O91；S20、S15、S16、S17、S29</t>
        </is>
      </c>
    </row>
    <row r="92" ht="110" customHeight="1">
      <c r="A92" s="4" t="inlineStr">
        <is>
          <t>T087</t>
        </is>
      </c>
      <c r="B92" s="4" t="inlineStr">
        <is>
          <t>P1｜签到鱼币</t>
        </is>
      </c>
      <c r="C92" s="4" t="inlineStr">
        <is>
          <t>未开始</t>
        </is>
      </c>
      <c r="D92" s="4" t="str"/>
      <c r="E92" s="4" t="inlineStr">
        <is>
          <t>P31</t>
        </is>
      </c>
      <c r="F92" s="4">
        <f>'01_闭环计划'!D37</f>
        <v/>
      </c>
      <c r="G92" s="4" t="inlineStr">
        <is>
          <t>未提供证据记录</t>
        </is>
      </c>
      <c r="H92" s="4" t="inlineStr">
        <is>
          <t>复用已有代码/测试；按新包验收，未提供的证据不推定通过。</t>
        </is>
      </c>
      <c r="I92" s="4" t="inlineStr">
        <is>
          <t>验收1：已签到不重复
验收2：签到可得结果真实
验收3：平台入口缺失可见</t>
        </is>
      </c>
      <c r="J92" s="4" t="inlineStr">
        <is>
          <t>xianyu.coin_checkin.v1；字段：执行账号、日期/周期、原页面其它有效选项；结果必须含每item的done/skipped/failed/uncertain与证据，OPEN_ONLY单独状态。</t>
        </is>
      </c>
      <c r="K92" s="4" t="inlineStr">
        <is>
          <t>T077、T023、T024</t>
        </is>
      </c>
      <c r="L92" s="4" t="inlineStr">
        <is>
          <t>原工作簿/02_实施任务!A92:O92；S20、S15、S16、S17、S29</t>
        </is>
      </c>
    </row>
    <row r="93" ht="110" customHeight="1">
      <c r="A93" s="4" t="inlineStr">
        <is>
          <t>T088</t>
        </is>
      </c>
      <c r="B93" s="4" t="inlineStr">
        <is>
          <t>P1｜鱼币抵扣</t>
        </is>
      </c>
      <c r="C93" s="4" t="inlineStr">
        <is>
          <t>未开始</t>
        </is>
      </c>
      <c r="D93" s="4" t="str"/>
      <c r="E93" s="4" t="inlineStr">
        <is>
          <t>P31</t>
        </is>
      </c>
      <c r="F93" s="4">
        <f>'01_闭环计划'!D37</f>
        <v/>
      </c>
      <c r="G93" s="4" t="inlineStr">
        <is>
          <t>未提供证据记录</t>
        </is>
      </c>
      <c r="H93" s="4" t="inlineStr">
        <is>
          <t>复用已有代码/测试；按新包验收，未提供的证据不推定通过。</t>
        </is>
      </c>
      <c r="I93" s="4" t="inlineStr">
        <is>
          <t>验收1：每种模式语义正确
验收2：OPEN_ONLY无设置改变
验收3：不误改价格</t>
        </is>
      </c>
      <c r="J93" s="4" t="inlineStr">
        <is>
          <t>xianyu.coin_discount.v1；字段：目标商品、抵扣模式不抵扣/10%/20%/30%/只打开页面（以现有枚举为准）；结果必须含每item的done/skipped/failed/uncertain与证据，OPEN_ONLY单独状态。</t>
        </is>
      </c>
      <c r="K93" s="4" t="inlineStr">
        <is>
          <t>T077、T023、T024</t>
        </is>
      </c>
      <c r="L93" s="4" t="inlineStr">
        <is>
          <t>原工作簿/02_实施任务!A93:O93；S20、S15、S16、S17、S29</t>
        </is>
      </c>
    </row>
    <row r="94" ht="110" customHeight="1">
      <c r="A94" s="4" t="inlineStr">
        <is>
          <t>T089</t>
        </is>
      </c>
      <c r="B94" s="4" t="inlineStr">
        <is>
          <t>P1｜鱼币推广</t>
        </is>
      </c>
      <c r="C94" s="4" t="inlineStr">
        <is>
          <t>未开始</t>
        </is>
      </c>
      <c r="D94" s="4" t="str"/>
      <c r="E94" s="4" t="inlineStr">
        <is>
          <t>P32</t>
        </is>
      </c>
      <c r="F94" s="4">
        <f>'01_闭环计划'!D38</f>
        <v/>
      </c>
      <c r="G94" s="4" t="inlineStr">
        <is>
          <t>未提供证据记录</t>
        </is>
      </c>
      <c r="H94" s="4" t="inlineStr">
        <is>
          <t>复用已有代码/测试；按新包验收，未提供的证据不推定通过。</t>
        </is>
      </c>
      <c r="I94" s="4" t="inlineStr">
        <is>
          <t>验收1：不超明确预算
验收2：不确定扣费不重复提交
验收3：套餐变化暂停</t>
        </is>
      </c>
      <c r="J94" s="4" t="inlineStr">
        <is>
          <t>xianyu.coin_promote.v1；字段：商品筛选/排序、推广包或时长、最大鱼币预算、逐项确认；结果必须含每item的done/skipped/failed/uncertain与证据，OPEN_ONLY单独状态。</t>
        </is>
      </c>
      <c r="K94" s="4" t="inlineStr">
        <is>
          <t>T077、T023、T024</t>
        </is>
      </c>
      <c r="L94" s="4" t="inlineStr">
        <is>
          <t>原工作簿/02_实施任务!A94:O94；S20、S15、S16、S17、S29</t>
        </is>
      </c>
    </row>
    <row r="95" ht="110" customHeight="1">
      <c r="A95" s="4" t="inlineStr">
        <is>
          <t>T090</t>
        </is>
      </c>
      <c r="B95" s="4" t="inlineStr">
        <is>
          <t>P1｜一键小刀（非降价）</t>
        </is>
      </c>
      <c r="C95" s="4" t="inlineStr">
        <is>
          <t>未开始</t>
        </is>
      </c>
      <c r="D95" s="4" t="str"/>
      <c r="E95" s="4" t="inlineStr">
        <is>
          <t>P33</t>
        </is>
      </c>
      <c r="F95" s="4">
        <f>'01_闭环计划'!D39</f>
        <v/>
      </c>
      <c r="G95" s="4" t="inlineStr">
        <is>
          <t>未提供证据记录</t>
        </is>
      </c>
      <c r="H95" s="4" t="inlineStr">
        <is>
          <t>复用已有代码/测试；按新包验收，未提供的证据不推定通过。</t>
        </is>
      </c>
      <c r="I95" s="4" t="inlineStr">
        <is>
          <t>验收1：小刀与降价逻辑分开
验收2：设置值读回正确
验收3：OPEN_ONLY不操作</t>
        </is>
      </c>
      <c r="J95" s="4" t="inlineStr">
        <is>
          <t>xianyu.bargain_setting.v1；字段：打开/关闭/指定小刀参数/只打开页面及目标商品（以原枚举为准）；结果必须含每item的done/skipped/failed/uncertain与证据，OPEN_ONLY单独状态。</t>
        </is>
      </c>
      <c r="K95" s="4" t="inlineStr">
        <is>
          <t>T077、T023、T024</t>
        </is>
      </c>
      <c r="L95" s="4" t="inlineStr">
        <is>
          <t>原工作簿/02_实施任务!A95:O95；S20、S15、S16、S17、S29</t>
        </is>
      </c>
    </row>
    <row r="96" ht="110" customHeight="1">
      <c r="A96" s="4" t="inlineStr">
        <is>
          <t>T091</t>
        </is>
      </c>
      <c r="B96" s="4" t="inlineStr">
        <is>
          <t>P1｜一键降价</t>
        </is>
      </c>
      <c r="C96" s="4" t="inlineStr">
        <is>
          <t>未开始</t>
        </is>
      </c>
      <c r="D96" s="4" t="str"/>
      <c r="E96" s="4" t="inlineStr">
        <is>
          <t>P33</t>
        </is>
      </c>
      <c r="F96" s="4">
        <f>'01_闭环计划'!D39</f>
        <v/>
      </c>
      <c r="G96" s="4" t="inlineStr">
        <is>
          <t>未提供证据记录</t>
        </is>
      </c>
      <c r="H96" s="4" t="inlineStr">
        <is>
          <t>复用已有代码/测试；按新包验收，未提供的证据不推定通过。</t>
        </is>
      </c>
      <c r="I96" s="4" t="inlineStr">
        <is>
          <t>验收1：重试不二次降价
验收2：底价有效
验收3：每项旧新价可查</t>
        </is>
      </c>
      <c r="J96" s="4" t="inlineStr">
        <is>
          <t>xianyu.price_cut.v1；字段：商品范围、按金额或百分比、最低价、数量/间隔；结果必须含每item的done/skipped/failed/uncertain与证据，OPEN_ONLY单独状态。</t>
        </is>
      </c>
      <c r="K96" s="4" t="inlineStr">
        <is>
          <t>T077、T023、T024</t>
        </is>
      </c>
      <c r="L96" s="4" t="inlineStr">
        <is>
          <t>原工作簿/02_实施任务!A96:O96；S20、S15、S16、S17、S29</t>
        </is>
      </c>
    </row>
    <row r="97" ht="110" customHeight="1">
      <c r="A97" s="4" t="inlineStr">
        <is>
          <t>T092</t>
        </is>
      </c>
      <c r="B97" s="4" t="inlineStr">
        <is>
          <t>P1｜一键好评</t>
        </is>
      </c>
      <c r="C97" s="4" t="inlineStr">
        <is>
          <t>未开始</t>
        </is>
      </c>
      <c r="D97" s="4" t="str"/>
      <c r="E97" s="4" t="inlineStr">
        <is>
          <t>P34</t>
        </is>
      </c>
      <c r="F97" s="4">
        <f>'01_闭环计划'!D40</f>
        <v/>
      </c>
      <c r="G97" s="4" t="inlineStr">
        <is>
          <t>未提供证据记录</t>
        </is>
      </c>
      <c r="H97" s="4" t="inlineStr">
        <is>
          <t>复用已有代码/测试；按新包验收，未提供的证据不推定通过。</t>
        </is>
      </c>
      <c r="I97" s="4" t="inlineStr">
        <is>
          <t>验收1：真实订单评价可追踪
验收2：不重复评价
验收3：不默认发送互评推广私信</t>
        </is>
      </c>
      <c r="J97" s="4" t="inlineStr">
        <is>
          <t>xianyu.review_order.v1；字段：真实已完成订单范围、评价内容、数量、原页面评价选项；结果必须含每item的done/skipped/failed/uncertain与证据，OPEN_ONLY单独状态。</t>
        </is>
      </c>
      <c r="K97" s="4" t="inlineStr">
        <is>
          <t>T077、T023、T024</t>
        </is>
      </c>
      <c r="L97" s="4" t="inlineStr">
        <is>
          <t>原工作簿/02_实施任务!A97:O97；S20、S15、S16、S17、S29</t>
        </is>
      </c>
    </row>
    <row r="98" ht="110" customHeight="1">
      <c r="A98" s="4" t="inlineStr">
        <is>
          <t>T093</t>
        </is>
      </c>
      <c r="B98" s="4" t="inlineStr">
        <is>
          <t>P1｜重启闲鱼的权限边界</t>
        </is>
      </c>
      <c r="C98" s="4" t="inlineStr">
        <is>
          <t>未开始</t>
        </is>
      </c>
      <c r="D98" s="4" t="str"/>
      <c r="E98" s="4" t="inlineStr">
        <is>
          <t>P35</t>
        </is>
      </c>
      <c r="F98" s="4">
        <f>'01_闭环计划'!D41</f>
        <v/>
      </c>
      <c r="G98" s="4" t="inlineStr">
        <is>
          <t>未提供证据记录</t>
        </is>
      </c>
      <c r="H98" s="4" t="inlineStr">
        <is>
          <t>复用已有代码/测试；按新包验收，未提供的证据不推定通过。</t>
        </is>
      </c>
      <c r="I98" s="4" t="inlineStr">
        <is>
          <t>验收1：有权限范围内确实重新拉起
验收2：不宣称无权force-stop
验收3：不丢账号数据</t>
        </is>
      </c>
      <c r="J98" s="4" t="inlineStr">
        <is>
          <t>xianyu.relaunch_app.v1；字段：设备/账号、导航恢复模式、原有等待选项；结果必须含每item的done/skipped/failed/uncertain与证据，OPEN_ONLY单独状态。</t>
        </is>
      </c>
      <c r="K98" s="4" t="inlineStr">
        <is>
          <t>T077、T023、T024</t>
        </is>
      </c>
      <c r="L98" s="4" t="inlineStr">
        <is>
          <t>原工作簿/02_实施任务!A98:O98；S20、S15、S16、S17、S29</t>
        </is>
      </c>
    </row>
    <row r="99" ht="110" customHeight="1">
      <c r="A99" s="4" t="inlineStr">
        <is>
          <t>T094</t>
        </is>
      </c>
      <c r="B99" s="4" t="inlineStr">
        <is>
          <t>P1｜删除动态</t>
        </is>
      </c>
      <c r="C99" s="4" t="inlineStr">
        <is>
          <t>未开始</t>
        </is>
      </c>
      <c r="D99" s="4" t="str"/>
      <c r="E99" s="4" t="inlineStr">
        <is>
          <t>P30</t>
        </is>
      </c>
      <c r="F99" s="4">
        <f>'01_闭环计划'!D36</f>
        <v/>
      </c>
      <c r="G99" s="4" t="inlineStr">
        <is>
          <t>未提供证据记录</t>
        </is>
      </c>
      <c r="H99" s="4" t="inlineStr">
        <is>
          <t>复用已有代码/测试；按新包验收，未提供的证据不推定通过。</t>
        </is>
      </c>
      <c r="I99" s="4" t="inlineStr">
        <is>
          <t>验收1：不误删商品/消息
验收2：分页有界
验收3：每项结果可追踪</t>
        </is>
      </c>
      <c r="J99" s="4" t="inlineStr">
        <is>
          <t>xianyu.delete_feed.v1；字段：动态范围、数量/轮次、筛选、明确删除确认；结果必须含每item的done/skipped/failed/uncertain与证据，OPEN_ONLY单独状态。</t>
        </is>
      </c>
      <c r="K99" s="4" t="inlineStr">
        <is>
          <t>T077、T023、T024</t>
        </is>
      </c>
      <c r="L99" s="4" t="inlineStr">
        <is>
          <t>原工作簿/02_实施任务!A99:O99；S20、S15、S16、S17、S29</t>
        </is>
      </c>
    </row>
    <row r="100" ht="110" customHeight="1">
      <c r="A100" s="4" t="inlineStr">
        <is>
          <t>T095</t>
        </is>
      </c>
      <c r="B100" s="4" t="inlineStr">
        <is>
          <t>P1｜删除消息/处理小红点</t>
        </is>
      </c>
      <c r="C100" s="4" t="inlineStr">
        <is>
          <t>未开始</t>
        </is>
      </c>
      <c r="D100" s="4" t="str"/>
      <c r="E100" s="4" t="inlineStr">
        <is>
          <t>P36</t>
        </is>
      </c>
      <c r="F100" s="4">
        <f>'01_闭环计划'!D42</f>
        <v/>
      </c>
      <c r="G100" s="4" t="inlineStr">
        <is>
          <t>未提供证据记录</t>
        </is>
      </c>
      <c r="H100" s="4" t="inlineStr">
        <is>
          <t>复用已有代码/测试；按新包验收，未提供的证据不推定通过。</t>
        </is>
      </c>
      <c r="I100" s="4" t="inlineStr">
        <is>
          <t>验收1：点红点不删除
验收2：删除范围正确
验收3：不自动发送消息</t>
        </is>
      </c>
      <c r="J100" s="4" t="inlineStr">
        <is>
          <t>xianyu.message_action.v1；字段：messageAction=删除对话框或点开小红点、数量/轮次、筛选；结果必须含每item的done/skipped/failed/uncertain与证据，OPEN_ONLY单独状态。</t>
        </is>
      </c>
      <c r="K100" s="4" t="inlineStr">
        <is>
          <t>T077、T023、T024</t>
        </is>
      </c>
      <c r="L100" s="4" t="inlineStr">
        <is>
          <t>原工作簿/02_实施任务!A100:O100；S20、S15、S16、S17、S29</t>
        </is>
      </c>
    </row>
    <row r="101" ht="110" customHeight="1">
      <c r="A101" s="4" t="inlineStr">
        <is>
          <t>T096</t>
        </is>
      </c>
      <c r="B101" s="4" t="inlineStr">
        <is>
          <t>P1｜删除留言</t>
        </is>
      </c>
      <c r="C101" s="4" t="inlineStr">
        <is>
          <t>未开始</t>
        </is>
      </c>
      <c r="D101" s="4" t="str"/>
      <c r="E101" s="4" t="inlineStr">
        <is>
          <t>P30</t>
        </is>
      </c>
      <c r="F101" s="4">
        <f>'01_闭环计划'!D36</f>
        <v/>
      </c>
      <c r="G101" s="4" t="inlineStr">
        <is>
          <t>未提供证据记录</t>
        </is>
      </c>
      <c r="H101" s="4" t="inlineStr">
        <is>
          <t>复用已有代码/测试；按新包验收，未提供的证据不推定通过。</t>
        </is>
      </c>
      <c r="I101" s="4" t="inlineStr">
        <is>
          <t>验收1：不误删会话
验收2：无权不乱点
验收3：恢复不跳错项</t>
        </is>
      </c>
      <c r="J101" s="4" t="inlineStr">
        <is>
          <t>xianyu.delete_comment.v1；字段：留言目标范围、数量、轮次、确认标志；结果必须含每item的done/skipped/failed/uncertain与证据，OPEN_ONLY单独状态。</t>
        </is>
      </c>
      <c r="K101" s="4" t="inlineStr">
        <is>
          <t>T077、T023、T024</t>
        </is>
      </c>
      <c r="L101" s="4" t="inlineStr">
        <is>
          <t>原工作簿/02_实施任务!A101:O101；S20、S15、S16、S17、S29</t>
        </is>
      </c>
    </row>
    <row r="102" ht="110" customHeight="1">
      <c r="A102" s="4" t="inlineStr">
        <is>
          <t>T097</t>
        </is>
      </c>
      <c r="B102" s="4" t="inlineStr">
        <is>
          <t>P1｜草稿上架</t>
        </is>
      </c>
      <c r="C102" s="4" t="inlineStr">
        <is>
          <t>未开始</t>
        </is>
      </c>
      <c r="D102" s="4" t="str"/>
      <c r="E102" s="4" t="inlineStr">
        <is>
          <t>P37</t>
        </is>
      </c>
      <c r="F102" s="4">
        <f>'01_闭环计划'!D43</f>
        <v/>
      </c>
      <c r="G102" s="4" t="inlineStr">
        <is>
          <t>未提供证据记录</t>
        </is>
      </c>
      <c r="H102" s="4" t="inlineStr">
        <is>
          <t>复用已有代码/测试；按新包验收，未提供的证据不推定通过。</t>
        </is>
      </c>
      <c r="I102" s="4" t="inlineStr">
        <is>
          <t>验收1：指定草稿真实上架
验收2：不误发相邻草稿
验收3：重试不重复</t>
        </is>
      </c>
      <c r="J102" s="4" t="inlineStr">
        <is>
          <t>xianyu.publish_draft.v1；字段：草稿选择、数量、发布选项、账号和确认；结果必须含每item的done/skipped/failed/uncertain与证据，OPEN_ONLY单独状态。</t>
        </is>
      </c>
      <c r="K102" s="4" t="inlineStr">
        <is>
          <t>T077、T023、T024</t>
        </is>
      </c>
      <c r="L102" s="4" t="inlineStr">
        <is>
          <t>原工作簿/02_实施任务!A102:O102；S20、S15、S16、S17、S29</t>
        </is>
      </c>
    </row>
    <row r="103" ht="110" customHeight="1">
      <c r="A103" s="4" t="inlineStr">
        <is>
          <t>T098</t>
        </is>
      </c>
      <c r="B103" s="4" t="inlineStr">
        <is>
          <t>P1｜编辑重发</t>
        </is>
      </c>
      <c r="C103" s="4" t="inlineStr">
        <is>
          <t>未开始</t>
        </is>
      </c>
      <c r="D103" s="4" t="str"/>
      <c r="E103" s="4" t="inlineStr">
        <is>
          <t>P37</t>
        </is>
      </c>
      <c r="F103" s="4">
        <f>'01_闭环计划'!D43</f>
        <v/>
      </c>
      <c r="G103" s="4" t="inlineStr">
        <is>
          <t>未提供证据记录</t>
        </is>
      </c>
      <c r="H103" s="4" t="inlineStr">
        <is>
          <t>复用已有代码/测试；按新包验收，未提供的证据不推定通过。</t>
        </is>
      </c>
      <c r="I103" s="4" t="inlineStr">
        <is>
          <t>验收1：未选字段不丢
验收2：旧新条目关系可查
验收3：不重复重发</t>
        </is>
      </c>
      <c r="J103" s="4" t="inlineStr">
        <is>
          <t>xianyu.edit_republish.v1；字段：目标商品、允许修改字段、地址/文案选项、次数；结果必须含每item的done/skipped/failed/uncertain与证据，OPEN_ONLY单独状态。</t>
        </is>
      </c>
      <c r="K103" s="4" t="inlineStr">
        <is>
          <t>T077、T023、T024</t>
        </is>
      </c>
      <c r="L103" s="4" t="inlineStr">
        <is>
          <t>原工作簿/02_实施任务!A103:O103；S20、S15、S16、S17、S29</t>
        </is>
      </c>
    </row>
    <row r="104" ht="110" customHeight="1">
      <c r="A104" s="4" t="inlineStr">
        <is>
          <t>T099</t>
        </is>
      </c>
      <c r="B104" s="4" t="inlineStr">
        <is>
          <t>P1｜托管无忧卖</t>
        </is>
      </c>
      <c r="C104" s="4" t="inlineStr">
        <is>
          <t>未开始</t>
        </is>
      </c>
      <c r="D104" s="4" t="str"/>
      <c r="E104" s="4" t="inlineStr">
        <is>
          <t>P38</t>
        </is>
      </c>
      <c r="F104" s="4">
        <f>'01_闭环计划'!D44</f>
        <v/>
      </c>
      <c r="G104" s="4" t="inlineStr">
        <is>
          <t>未提供证据记录</t>
        </is>
      </c>
      <c r="H104" s="4" t="inlineStr">
        <is>
          <t>复用已有代码/测试；按新包验收，未提供的证据不推定通过。</t>
        </is>
      </c>
      <c r="I104" s="4" t="inlineStr">
        <is>
          <t>验收1：不接受未知条款
验收2：状态核验真实
验收3：不可用入口明确受阻</t>
        </is>
      </c>
      <c r="J104" s="4" t="inlineStr">
        <is>
          <t>xianyu.wuyoumai.v1；字段：加入/退出/只打开、商品范围、明确条款确认；结果必须含每item的done/skipped/failed/uncertain与证据，OPEN_ONLY单独状态。</t>
        </is>
      </c>
      <c r="K104" s="4" t="inlineStr">
        <is>
          <t>T077、T023、T024</t>
        </is>
      </c>
      <c r="L104" s="4" t="inlineStr">
        <is>
          <t>原工作簿/02_实施任务!A104:O104；S20、S15、S16、S17、S29</t>
        </is>
      </c>
    </row>
    <row r="105" ht="110" customHeight="1">
      <c r="A105" s="4" t="inlineStr">
        <is>
          <t>T100</t>
        </is>
      </c>
      <c r="B105" s="4" t="inlineStr">
        <is>
          <t>P1｜快速编辑重发</t>
        </is>
      </c>
      <c r="C105" s="4" t="inlineStr">
        <is>
          <t>未开始</t>
        </is>
      </c>
      <c r="D105" s="4" t="str"/>
      <c r="E105" s="4" t="inlineStr">
        <is>
          <t>P37</t>
        </is>
      </c>
      <c r="F105" s="4">
        <f>'01_闭环计划'!D43</f>
        <v/>
      </c>
      <c r="G105" s="4" t="inlineStr">
        <is>
          <t>未提供证据记录</t>
        </is>
      </c>
      <c r="H105" s="4" t="inlineStr">
        <is>
          <t>复用已有代码/测试；按新包验收，未提供的证据不推定通过。</t>
        </is>
      </c>
      <c r="I105" s="4" t="inlineStr">
        <is>
          <t>验收1：快速也不重复提交
验收2：逐项结果可查
验收3：没有入口不盲点</t>
        </is>
      </c>
      <c r="J105" s="4" t="inlineStr">
        <is>
          <t>xianyu.fast_republish.v1；字段：目标范围、快速路径选项、修改字段、数量；结果必须含每item的done/skipped/failed/uncertain与证据，OPEN_ONLY单独状态。</t>
        </is>
      </c>
      <c r="K105" s="4" t="inlineStr">
        <is>
          <t>T077、T023、T024</t>
        </is>
      </c>
      <c r="L105" s="4" t="inlineStr">
        <is>
          <t>原工作簿/02_实施任务!A105:O105；S20、S15、S16、S17、S29</t>
        </is>
      </c>
    </row>
    <row r="106" ht="110" customHeight="1">
      <c r="A106" s="4" t="inlineStr">
        <is>
          <t>T101</t>
        </is>
      </c>
      <c r="B106" s="4" t="inlineStr">
        <is>
          <t>P1｜快速下架商品</t>
        </is>
      </c>
      <c r="C106" s="4" t="inlineStr">
        <is>
          <t>未开始</t>
        </is>
      </c>
      <c r="D106" s="4" t="str"/>
      <c r="E106" s="4" t="inlineStr">
        <is>
          <t>P29</t>
        </is>
      </c>
      <c r="F106" s="4">
        <f>'01_闭环计划'!D35</f>
        <v/>
      </c>
      <c r="G106" s="4" t="inlineStr">
        <is>
          <t>未提供证据记录</t>
        </is>
      </c>
      <c r="H106" s="4" t="inlineStr">
        <is>
          <t>复用已有代码/测试；按新包验收，未提供的证据不推定通过。</t>
        </is>
      </c>
      <c r="I106" s="4" t="inlineStr">
        <is>
          <t>验收1：选择范围准确
验收2：partial不假全成功
验收3：成功项不重复</t>
        </is>
      </c>
      <c r="J106" s="4" t="inlineStr">
        <is>
          <t>xianyu.fast_shelf_down.v1；字段：目标范围、数量/过滤条件、间隔；结果必须含每item的done/skipped/failed/uncertain与证据，OPEN_ONLY单独状态。</t>
        </is>
      </c>
      <c r="K106" s="4" t="inlineStr">
        <is>
          <t>T077、T023、T024</t>
        </is>
      </c>
      <c r="L106" s="4" t="inlineStr">
        <is>
          <t>原工作簿/02_实施任务!A106:O106；S20、S15、S16、S17、S29</t>
        </is>
      </c>
    </row>
    <row r="107" ht="110" customHeight="1">
      <c r="A107" s="4" t="inlineStr">
        <is>
          <t>T102</t>
        </is>
      </c>
      <c r="B107" s="4" t="inlineStr">
        <is>
          <t>P1｜发布/删除闲鱼帖子的可用性验证与实现门槛</t>
        </is>
      </c>
      <c r="C107" s="4" t="inlineStr">
        <is>
          <t>未开始</t>
        </is>
      </c>
      <c r="D107" s="4" t="str"/>
      <c r="E107" s="4" t="inlineStr">
        <is>
          <t>P39</t>
        </is>
      </c>
      <c r="F107" s="4">
        <f>'01_闭环计划'!D45</f>
        <v/>
      </c>
      <c r="G107" s="4" t="inlineStr">
        <is>
          <t>未提供证据记录</t>
        </is>
      </c>
      <c r="H107" s="28" t="inlineStr">
        <is>
          <t>进度口径差异：审阅B053已修；任务仍未开始。只核对相关变更，不自动改状态。</t>
        </is>
      </c>
      <c r="I107" s="4" t="inlineStr">
        <is>
          <t>验收1：两项都有证据和状态
验收2：有入口完成真实闭环
验收3：无入口不伪造成功</t>
        </is>
      </c>
      <c r="J107" s="4" t="inlineStr">
        <is>
          <t>是否平台支持是待真机验证事项，不是向用户再发需求问卷。</t>
        </is>
      </c>
      <c r="K107" s="4" t="inlineStr">
        <is>
          <t>T004、T039、T077</t>
        </is>
      </c>
      <c r="L107" s="4" t="inlineStr">
        <is>
          <t>原工作簿/02_实施任务!A107:O107；S20</t>
        </is>
      </c>
    </row>
    <row r="108" ht="110" customHeight="1">
      <c r="A108" s="4" t="inlineStr">
        <is>
          <t>T103</t>
        </is>
      </c>
      <c r="B108" s="4" t="inlineStr">
        <is>
          <t>P1｜词库规则后端化与发布前检查</t>
        </is>
      </c>
      <c r="C108" s="4" t="inlineStr">
        <is>
          <t>未开始</t>
        </is>
      </c>
      <c r="D108" s="4" t="str"/>
      <c r="E108" s="4" t="inlineStr">
        <is>
          <t>P40</t>
        </is>
      </c>
      <c r="F108" s="4">
        <f>'01_闭环计划'!D46</f>
        <v/>
      </c>
      <c r="G108" s="4" t="inlineStr">
        <is>
          <t>未提供证据记录</t>
        </is>
      </c>
      <c r="H108" s="4" t="inlineStr">
        <is>
          <t>复用已有代码/测试；按新包验收，未提供的证据不推定通过。</t>
        </is>
      </c>
      <c r="I108" s="4" t="inlineStr">
        <is>
          <t>验收1：命中可定位
验收2：检测失败不视为通过
验收3：版本可追溯</t>
        </is>
      </c>
      <c r="J108" s="4" t="inlineStr">
        <is>
          <t>词库检测是辅助业务规则，不是绕过平台审核工具或发布保证。</t>
        </is>
      </c>
      <c r="K108" s="4" t="inlineStr">
        <is>
          <t>T054、T067、T059</t>
        </is>
      </c>
      <c r="L108" s="4" t="inlineStr">
        <is>
          <t>原工作簿/02_实施任务!A108:O108；S20</t>
        </is>
      </c>
    </row>
    <row r="109" ht="110" customHeight="1">
      <c r="A109" s="4" t="inlineStr">
        <is>
          <t>T104</t>
        </is>
      </c>
      <c r="B109" s="4" t="inlineStr">
        <is>
          <t>P1｜31项入口和共享功能交付对照</t>
        </is>
      </c>
      <c r="C109" s="4" t="inlineStr">
        <is>
          <t>未开始</t>
        </is>
      </c>
      <c r="D109" s="4" t="str"/>
      <c r="E109" s="4" t="inlineStr">
        <is>
          <t>P49</t>
        </is>
      </c>
      <c r="F109" s="4">
        <f>'01_闭环计划'!D55</f>
        <v/>
      </c>
      <c r="G109" s="4" t="inlineStr">
        <is>
          <t>未提供证据记录</t>
        </is>
      </c>
      <c r="H109" s="4" t="inlineStr">
        <is>
          <t>复用已有代码/测试；按新包验收，未提供的证据不推定通过。</t>
        </is>
      </c>
      <c r="I109" s="4" t="inlineStr">
        <is>
          <t>验收1：31项不漏号
验收2：无假可用按钮
验收3：共享模块不重复存储</t>
        </is>
      </c>
      <c r="J109" s="4" t="inlineStr">
        <is>
          <t>目录项数量与命令数量不同：共享资源/帮助不是新的mobile task。</t>
        </is>
      </c>
      <c r="K109" s="4" t="inlineStr">
        <is>
          <t>T077、T102、T103、T053、T055、T056、T057</t>
        </is>
      </c>
      <c r="L109" s="4" t="inlineStr">
        <is>
          <t>原工作簿/02_实施任务!A109:O109；S20</t>
        </is>
      </c>
    </row>
    <row r="110" ht="110" customHeight="1">
      <c r="A110" s="4" t="inlineStr">
        <is>
          <t>T105</t>
        </is>
      </c>
      <c r="B110" s="4" t="inlineStr">
        <is>
          <t>P0｜完整可见字段与账号归属</t>
        </is>
      </c>
      <c r="C110" s="4" t="inlineStr">
        <is>
          <t>未开始</t>
        </is>
      </c>
      <c r="D110" s="4" t="str"/>
      <c r="E110" s="4" t="inlineStr">
        <is>
          <t>P41</t>
        </is>
      </c>
      <c r="F110" s="4">
        <f>'01_闭环计划'!D47</f>
        <v/>
      </c>
      <c r="G110" s="4" t="inlineStr">
        <is>
          <t>未提供证据记录</t>
        </is>
      </c>
      <c r="H110" s="4" t="inlineStr">
        <is>
          <t>复用已有代码/测试；按新包验收，未提供的证据不推定通过。</t>
        </is>
      </c>
      <c r="I110" s="4" t="inlineStr">
        <is>
          <t>验收1：订单不串账号
验收2：缺字段与0区分
验收3：敏感信息受控</t>
        </is>
      </c>
      <c r="J110" s="4" t="inlineStr">
        <is>
          <t>“全部字段”指正常授权页面可获得字段，不承诺获取平台未开放/隐藏数据。</t>
        </is>
      </c>
      <c r="K110" s="4" t="inlineStr">
        <is>
          <t>T011、T006</t>
        </is>
      </c>
      <c r="L110" s="4" t="inlineStr">
        <is>
          <t>原工作簿/02_实施任务!A110:O110；S02、S03、S20</t>
        </is>
      </c>
    </row>
    <row r="111" ht="110" customHeight="1">
      <c r="A111" s="4" t="inlineStr">
        <is>
          <t>T106</t>
        </is>
      </c>
      <c r="B111" s="4" t="inlineStr">
        <is>
          <t>P0｜全部/指定N及分批幂等入库</t>
        </is>
      </c>
      <c r="C111" s="4" t="inlineStr">
        <is>
          <t>未开始</t>
        </is>
      </c>
      <c r="D111" s="4" t="str"/>
      <c r="E111" s="4" t="inlineStr">
        <is>
          <t>P41</t>
        </is>
      </c>
      <c r="F111" s="4">
        <f>'01_闭环计划'!D47</f>
        <v/>
      </c>
      <c r="G111" s="4" t="inlineStr">
        <is>
          <t>未提供证据记录</t>
        </is>
      </c>
      <c r="H111" s="4" t="inlineStr">
        <is>
          <t>复用已有代码/测试；按新包验收，未提供的证据不推定通过。</t>
        </is>
      </c>
      <c r="I111" s="4" t="inlineStr">
        <is>
          <t>验收1：重复batch不重复
验收2：N准确
验收3：中断可续且不假全部</t>
        </is>
      </c>
      <c r="J111" s="4" t="inlineStr">
        <is>
          <t>OrderSyncParams{scope,limit:null|N,roles,fieldsProfile}；BatchAck{accepted,duplicates,cursor}；Summary{complete,stopReason,uniqueCount}。</t>
        </is>
      </c>
      <c r="K111" s="4" t="inlineStr">
        <is>
          <t>T105、T012、T014、T017</t>
        </is>
      </c>
      <c r="L111" s="4" t="inlineStr">
        <is>
          <t>原工作簿/02_实施任务!A111:O111；S04、S06</t>
        </is>
      </c>
    </row>
    <row r="112" ht="110" customHeight="1">
      <c r="A112" s="4" t="inlineStr">
        <is>
          <t>T107</t>
        </is>
      </c>
      <c r="B112" s="4" t="inlineStr">
        <is>
          <t>P0｜列表+详情采集和断点恢复</t>
        </is>
      </c>
      <c r="C112" s="4" t="inlineStr">
        <is>
          <t>未开始</t>
        </is>
      </c>
      <c r="D112" s="4" t="str"/>
      <c r="E112" s="4" t="inlineStr">
        <is>
          <t>P42</t>
        </is>
      </c>
      <c r="F112" s="4">
        <f>'01_闭环计划'!D48</f>
        <v/>
      </c>
      <c r="G112" s="4" t="inlineStr">
        <is>
          <t>未提供证据记录</t>
        </is>
      </c>
      <c r="H112" s="4" t="inlineStr">
        <is>
          <t>复用已有代码/测试；按新包验收，未提供的证据不推定通过。</t>
        </is>
      </c>
      <c r="I112" s="4" t="inlineStr">
        <is>
          <t>验收1：真实2页以上订单字段抽样一致
验收2：指定N精确
验收3：弱网恢复无重复</t>
        </is>
      </c>
      <c r="J112" s="4" t="inlineStr">
        <is>
          <t>大结果走batch ingest，不塞task complete，也不能只上传截图无结构化数据。</t>
        </is>
      </c>
      <c r="K112" s="4" t="inlineStr">
        <is>
          <t>T106、T039、T023、T022</t>
        </is>
      </c>
      <c r="L112" s="4" t="inlineStr">
        <is>
          <t>原工作簿/02_实施任务!A112:O112；S29、S27、S26</t>
        </is>
      </c>
    </row>
    <row r="113" ht="110" customHeight="1">
      <c r="A113" s="4" t="inlineStr">
        <is>
          <t>T108</t>
        </is>
      </c>
      <c r="B113" s="4" t="inlineStr">
        <is>
          <t>P1｜查询、同步范围与同步历史</t>
        </is>
      </c>
      <c r="C113" s="4" t="inlineStr">
        <is>
          <t>未开始</t>
        </is>
      </c>
      <c r="D113" s="4" t="str"/>
      <c r="E113" s="4" t="inlineStr">
        <is>
          <t>P41</t>
        </is>
      </c>
      <c r="F113" s="4">
        <f>'01_闭环计划'!D47</f>
        <v/>
      </c>
      <c r="G113" s="4" t="inlineStr">
        <is>
          <t>未提供证据记录</t>
        </is>
      </c>
      <c r="H113" s="4" t="inlineStr">
        <is>
          <t>复用已有代码/测试；按新包验收，未提供的证据不推定通过。</t>
        </is>
      </c>
      <c r="I113" s="4" t="inlineStr">
        <is>
          <t>验收1：真实订单可查询
验收2：范围符合用户规则
验收3：敏感信息不公开</t>
        </is>
      </c>
      <c r="J113" s="4" t="inlineStr">
        <is>
          <t>不选择数量=全部；尚未完全扫描必须显示部分完成，不能用已采X条等同全部。</t>
        </is>
      </c>
      <c r="K113" s="4" t="inlineStr">
        <is>
          <t>T107、T028、T038、T070</t>
        </is>
      </c>
      <c r="L113" s="4" t="inlineStr">
        <is>
          <t>原工作簿/02_实施任务!A113:O113；S20</t>
        </is>
      </c>
    </row>
    <row r="114" ht="110" customHeight="1">
      <c r="A114" s="4" t="inlineStr">
        <is>
          <t>T109</t>
        </is>
      </c>
      <c r="B114" s="4" t="inlineStr">
        <is>
          <t>P0｜商品身份与历史快照</t>
        </is>
      </c>
      <c r="C114" s="4" t="inlineStr">
        <is>
          <t>未开始</t>
        </is>
      </c>
      <c r="D114" s="4" t="str"/>
      <c r="E114" s="4" t="inlineStr">
        <is>
          <t>P43</t>
        </is>
      </c>
      <c r="F114" s="4">
        <f>'01_闭环计划'!D49</f>
        <v/>
      </c>
      <c r="G114" s="4" t="inlineStr">
        <is>
          <t>未提供证据记录</t>
        </is>
      </c>
      <c r="H114" s="4" t="inlineStr">
        <is>
          <t>复用已有代码/测试；按新包验收，未提供的证据不推定通过。</t>
        </is>
      </c>
      <c r="I114" s="4" t="inlineStr">
        <is>
          <t>验收1：两次采集有两个时间点
验收2：同批重传不增加快照
验收3：不同账号同标题不合并</t>
        </is>
      </c>
      <c r="J114" s="4" t="inlineStr">
        <is>
          <t>MetricValue{value,rawText,unit,status,reason}；不是任意缺值填0的宽表。</t>
        </is>
      </c>
      <c r="K114" s="4" t="inlineStr">
        <is>
          <t>T011、T058</t>
        </is>
      </c>
      <c r="L114" s="4" t="inlineStr">
        <is>
          <t>原工作簿/02_实施任务!A114:O114；S03、S22</t>
        </is>
      </c>
    </row>
    <row r="115" ht="110" customHeight="1">
      <c r="A115" s="4" t="inlineStr">
        <is>
          <t>T110</t>
        </is>
      </c>
      <c r="B115" s="4" t="inlineStr">
        <is>
          <t>P1｜采集任务和历史查询</t>
        </is>
      </c>
      <c r="C115" s="4" t="inlineStr">
        <is>
          <t>未开始</t>
        </is>
      </c>
      <c r="D115" s="4" t="str"/>
      <c r="E115" s="4" t="inlineStr">
        <is>
          <t>P43</t>
        </is>
      </c>
      <c r="F115" s="4">
        <f>'01_闭环计划'!D49</f>
        <v/>
      </c>
      <c r="G115" s="4" t="inlineStr">
        <is>
          <t>未提供证据记录</t>
        </is>
      </c>
      <c r="H115" s="4" t="inlineStr">
        <is>
          <t>复用已有代码/测试；按新包验收，未提供的证据不推定通过。</t>
        </is>
      </c>
      <c r="I115" s="4" t="inlineStr">
        <is>
          <t>验收1：历史不覆盖
验收2：重复批次幂等
验收3：缺字段统计不混0</t>
        </is>
      </c>
      <c r="J115" s="4" t="inlineStr">
        <is>
          <t>CollectSummary{complete,seen,accepted,failed,stopReason}；MetricQuery只读历史。</t>
        </is>
      </c>
      <c r="K115" s="4" t="inlineStr">
        <is>
          <t>T109、T012、T014、T017</t>
        </is>
      </c>
      <c r="L115" s="4" t="inlineStr">
        <is>
          <t>原工作簿/02_实施任务!A115:O115；S22、S04</t>
        </is>
      </c>
    </row>
    <row r="116" ht="110" customHeight="1">
      <c r="A116" s="4" t="inlineStr">
        <is>
          <t>T111</t>
        </is>
      </c>
      <c r="B116" s="4" t="inlineStr">
        <is>
          <t>P0｜宝贝列表/详情遍历与字段提取</t>
        </is>
      </c>
      <c r="C116" s="4" t="inlineStr">
        <is>
          <t>未开始</t>
        </is>
      </c>
      <c r="D116" s="4" t="str"/>
      <c r="E116" s="4" t="inlineStr">
        <is>
          <t>P44</t>
        </is>
      </c>
      <c r="F116" s="4">
        <f>'01_闭环计划'!D50</f>
        <v/>
      </c>
      <c r="G116" s="4" t="inlineStr">
        <is>
          <t>未提供证据记录</t>
        </is>
      </c>
      <c r="H116" s="4" t="inlineStr">
        <is>
          <t>复用已有代码/测试；按新包验收，未提供的证据不推定通过。</t>
        </is>
      </c>
      <c r="I116" s="4" t="inlineStr">
        <is>
          <t>验收1：实际值与手机一致
验收2：缺值不是0
验收3：分页和恢复不丢项</t>
        </is>
      </c>
      <c r="J116" s="4" t="inlineStr">
        <is>
          <t>不采平台未显示的“真实曝光”等猜测数；字段变化由recipe版本处理。</t>
        </is>
      </c>
      <c r="K116" s="4" t="inlineStr">
        <is>
          <t>T110、T039、T023、T022</t>
        </is>
      </c>
      <c r="L116" s="4" t="inlineStr">
        <is>
          <t>原工作簿/02_实施任务!A116:O116；S22、S29、S26</t>
        </is>
      </c>
    </row>
    <row r="117" ht="110" customHeight="1">
      <c r="A117" s="4" t="inlineStr">
        <is>
          <t>T112</t>
        </is>
      </c>
      <c r="B117" s="4" t="inlineStr">
        <is>
          <t>P1｜真实采集入口、最新值与历史</t>
        </is>
      </c>
      <c r="C117" s="4" t="inlineStr">
        <is>
          <t>未开始</t>
        </is>
      </c>
      <c r="D117" s="4" t="str"/>
      <c r="E117" s="4" t="inlineStr">
        <is>
          <t>P43</t>
        </is>
      </c>
      <c r="F117" s="4">
        <f>'01_闭环计划'!D49</f>
        <v/>
      </c>
      <c r="G117" s="4" t="inlineStr">
        <is>
          <t>未提供证据记录</t>
        </is>
      </c>
      <c r="H117" s="4" t="inlineStr">
        <is>
          <t>复用已有代码/测试；按新包验收，未提供的证据不推定通过。</t>
        </is>
      </c>
      <c r="I117" s="4" t="inlineStr">
        <is>
          <t>验收1：采集后能看真实数据
验收2：历史时间点正确
验收3：本地缓存清空不丢</t>
        </is>
      </c>
      <c r="J117" s="4" t="inlineStr">
        <is>
          <t>既有统计页优先复用；新增指标必须能追溯来源和采集时间。</t>
        </is>
      </c>
      <c r="K117" s="4" t="inlineStr">
        <is>
          <t>T111、T028、T038</t>
        </is>
      </c>
      <c r="L117" s="4" t="inlineStr">
        <is>
          <t>原工作簿/02_实施任务!A117:O117；S22</t>
        </is>
      </c>
    </row>
    <row r="118" ht="110" customHeight="1">
      <c r="A118" s="4" t="inlineStr">
        <is>
          <t>T113</t>
        </is>
      </c>
      <c r="B118" s="4" t="inlineStr">
        <is>
          <t>P1｜长期保存与显式删除全链路</t>
        </is>
      </c>
      <c r="C118" s="4" t="inlineStr">
        <is>
          <t>未开始</t>
        </is>
      </c>
      <c r="D118" s="4" t="str"/>
      <c r="E118" s="4" t="inlineStr">
        <is>
          <t>P45</t>
        </is>
      </c>
      <c r="F118" s="4">
        <f>'01_闭环计划'!D51</f>
        <v/>
      </c>
      <c r="G118" s="4" t="inlineStr">
        <is>
          <t>未提供证据记录</t>
        </is>
      </c>
      <c r="H118" s="4" t="inlineStr">
        <is>
          <t>复用已有代码/测试；按新包验收，未提供的证据不推定通过。</t>
        </is>
      </c>
      <c r="I118" s="4" t="inlineStr">
        <is>
          <t>验收1：长期数据不被默认清理
验收2：引用资产不误删
验收3：删除有审计</t>
        </is>
      </c>
      <c r="J118" s="4" t="inlineStr">
        <is>
          <t>直播默认不录全程；保存截图为明确对象。临时文件清理不等于业务数据到期删除。</t>
        </is>
      </c>
      <c r="K118" s="4" t="inlineStr">
        <is>
          <t>T045、T050、T105、T109、T011</t>
        </is>
      </c>
      <c r="L118" s="4" t="inlineStr">
        <is>
          <t>原工作簿/02_实施任务!A118:O118；S03、S31</t>
        </is>
      </c>
    </row>
    <row r="119" ht="110" customHeight="1">
      <c r="A119" s="4" t="inlineStr">
        <is>
          <t>T114</t>
        </is>
      </c>
      <c r="B119" s="4" t="inlineStr">
        <is>
          <t>P0｜租户、账号、远控与版本权限测试</t>
        </is>
      </c>
      <c r="C119" s="4" t="inlineStr">
        <is>
          <t>未开始</t>
        </is>
      </c>
      <c r="D119" s="4" t="str"/>
      <c r="E119" s="4" t="inlineStr">
        <is>
          <t>P46</t>
        </is>
      </c>
      <c r="F119" s="4">
        <f>'01_闭环计划'!D52</f>
        <v/>
      </c>
      <c r="G119" s="4" t="inlineStr">
        <is>
          <t>未提供证据记录</t>
        </is>
      </c>
      <c r="H119" s="4" t="inlineStr">
        <is>
          <t>复用已有代码/测试；按新包验收，未提供的证据不推定通过。</t>
        </is>
      </c>
      <c r="I119" s="4" t="inlineStr">
        <is>
          <t>验收1：负向案例全部拒绝
验收2：日志无敏感泄露
验收3：旧token无控制权</t>
        </is>
      </c>
      <c r="J119" s="4" t="inlineStr">
        <is>
          <t>第一期个人使用仍执行tenant边界测试，为二期保留基础。</t>
        </is>
      </c>
      <c r="K119" s="4" t="inlineStr">
        <is>
          <t>T006、T042、T046、T034、T108、T113</t>
        </is>
      </c>
      <c r="L119" s="4" t="inlineStr">
        <is>
          <t>原工作簿/02_实施任务!A119:O119；S31、S04</t>
        </is>
      </c>
    </row>
    <row r="120" ht="110" customHeight="1">
      <c r="A120" s="4" t="inlineStr">
        <is>
          <t>T115</t>
        </is>
      </c>
      <c r="B120" s="4" t="inlineStr">
        <is>
          <t>P0｜Postgres租约、断网和恢复故障注入</t>
        </is>
      </c>
      <c r="C120" s="4" t="inlineStr">
        <is>
          <t>未开始</t>
        </is>
      </c>
      <c r="D120" s="4" t="str"/>
      <c r="E120" s="4" t="inlineStr">
        <is>
          <t>P46</t>
        </is>
      </c>
      <c r="F120" s="4">
        <f>'01_闭环计划'!D52</f>
        <v/>
      </c>
      <c r="G120" s="4" t="inlineStr">
        <is>
          <t>未提供证据记录</t>
        </is>
      </c>
      <c r="H120" s="4" t="inlineStr">
        <is>
          <t>复用已有代码/测试；按新包验收，未提供的证据不推定通过。</t>
        </is>
      </c>
      <c r="I120" s="4" t="inlineStr">
        <is>
          <t>验收1：无双writer
验收2：无盲目重复发布
验收3：暂停任务不丢现场</t>
        </is>
      </c>
      <c r="J120" s="4" t="inlineStr">
        <is>
          <t>不能仅用SQLite证明Postgres并发正确；外部UI副作用不宣称严格exactly-once。</t>
        </is>
      </c>
      <c r="K120" s="4" t="inlineStr">
        <is>
          <t>T027、T024、T017、T042、T107、T111</t>
        </is>
      </c>
      <c r="L120" s="4" t="inlineStr">
        <is>
          <t>原工作簿/02_实施任务!A120:O120；S04、S25、S26</t>
        </is>
      </c>
    </row>
    <row r="121" ht="110" customHeight="1">
      <c r="A121" s="4" t="inlineStr">
        <is>
          <t>T116</t>
        </is>
      </c>
      <c r="B121" s="4" t="inlineStr">
        <is>
          <t>P1｜十台真机与百台模拟容量分开验证</t>
        </is>
      </c>
      <c r="C121" s="4" t="inlineStr">
        <is>
          <t>未开始</t>
        </is>
      </c>
      <c r="D121" s="4" t="str"/>
      <c r="E121" s="4" t="inlineStr">
        <is>
          <t>P47</t>
        </is>
      </c>
      <c r="F121" s="4">
        <f>'01_闭环计划'!D53</f>
        <v/>
      </c>
      <c r="G121" s="4" t="inlineStr">
        <is>
          <t>未提供证据记录</t>
        </is>
      </c>
      <c r="H121" s="4" t="inlineStr">
        <is>
          <t>复用已有代码/测试；按新包验收，未提供的证据不推定通过。</t>
        </is>
      </c>
      <c r="I121" s="4" t="inlineStr">
        <is>
          <t>验收1：10台真实与100模拟结果分开
验收2：TURN可达
验收3：无持续DB视频帧写入</t>
        </is>
      </c>
      <c r="J121" s="4" t="inlineStr">
        <is>
          <t>fps/延迟为可调设计验收起点，用户只确认流畅；不承诺所有移动网络均达标。</t>
        </is>
      </c>
      <c r="K121" s="4" t="inlineStr">
        <is>
          <t>T032、T047、T013、T110、T106</t>
        </is>
      </c>
      <c r="L121" s="4" t="inlineStr">
        <is>
          <t>原工作簿/02_实施任务!A121:O121；S35、S36、S04</t>
        </is>
      </c>
    </row>
    <row r="122" ht="110" customHeight="1">
      <c r="A122" s="4" t="inlineStr">
        <is>
          <t>T117</t>
        </is>
      </c>
      <c r="B122" s="4" t="inlineStr">
        <is>
          <t>P0｜Redmi基线及平台版本认证</t>
        </is>
      </c>
      <c r="C122" s="4" t="inlineStr">
        <is>
          <t>未开始</t>
        </is>
      </c>
      <c r="D122" s="4" t="str"/>
      <c r="E122" s="4" t="inlineStr">
        <is>
          <t>P49</t>
        </is>
      </c>
      <c r="F122" s="4">
        <f>'01_闭环计划'!D55</f>
        <v/>
      </c>
      <c r="G122" s="4" t="inlineStr">
        <is>
          <t>未提供证据记录</t>
        </is>
      </c>
      <c r="H122" s="4" t="inlineStr">
        <is>
          <t>复用已有代码/测试；按新包验收，未提供的证据不推定通过。</t>
        </is>
      </c>
      <c r="I122" s="4" t="inlineStr">
        <is>
          <t>验收1：每项可追溯真实task与证据
验收2：不支持如实列
验收3：不要求手工输入App版本</t>
        </is>
      </c>
      <c r="J122" s="4" t="inlineStr">
        <is>
          <t>设备型号不等于SDK；支持矩阵由实际测试生成，未知版本进入安全待适配。</t>
        </is>
      </c>
      <c r="K122" s="4" t="inlineStr">
        <is>
          <t>T076、T081、T104、T108、T112、T042、T037</t>
        </is>
      </c>
      <c r="L122" s="4" t="inlineStr">
        <is>
          <t>原工作簿/02_实施任务!A122:O122；S32、S30、S29</t>
        </is>
      </c>
    </row>
    <row r="123" ht="110" customHeight="1">
      <c r="A123" s="4" t="inlineStr">
        <is>
          <t>T118</t>
        </is>
      </c>
      <c r="B123" s="4" t="inlineStr">
        <is>
          <t>P1｜任务诊断、告警和连接状态</t>
        </is>
      </c>
      <c r="C123" s="4" t="inlineStr">
        <is>
          <t>未开始</t>
        </is>
      </c>
      <c r="D123" s="4" t="str"/>
      <c r="E123" s="4" t="inlineStr">
        <is>
          <t>P48</t>
        </is>
      </c>
      <c r="F123" s="4">
        <f>'01_闭环计划'!D54</f>
        <v/>
      </c>
      <c r="G123" s="4" t="inlineStr">
        <is>
          <t>未提供证据记录</t>
        </is>
      </c>
      <c r="H123" s="4" t="inlineStr">
        <is>
          <t>复用已有代码/测试；按新包验收，未提供的证据不推定通过。</t>
        </is>
      </c>
      <c r="I123" s="4" t="inlineStr">
        <is>
          <t>验收1：失败可定位step
验收2：离线与暂停不同
验收3：日志无秘密</t>
        </is>
      </c>
      <c r="J123" s="4" t="inlineStr">
        <is>
          <t>一期不新增外部商业告警平台依赖；站内通知满足等待人工提示。</t>
        </is>
      </c>
      <c r="K123" s="4" t="inlineStr">
        <is>
          <t>T014、T022、T038、T040</t>
        </is>
      </c>
      <c r="L123" s="4" t="inlineStr">
        <is>
          <t>原工作簿/02_实施任务!A123:O123；S25、S26、S21</t>
        </is>
      </c>
    </row>
    <row r="124" ht="110" customHeight="1">
      <c r="A124" s="4" t="inlineStr">
        <is>
          <t>T119</t>
        </is>
      </c>
      <c r="B124" s="4" t="inlineStr">
        <is>
          <t>P1｜个人云部署与升级演练</t>
        </is>
      </c>
      <c r="C124" s="4" t="inlineStr">
        <is>
          <t>未开始</t>
        </is>
      </c>
      <c r="D124" s="4" t="str"/>
      <c r="E124" s="4" t="inlineStr">
        <is>
          <t>P48</t>
        </is>
      </c>
      <c r="F124" s="4">
        <f>'01_闭环计划'!D54</f>
        <v/>
      </c>
      <c r="G124" s="4" t="inlineStr">
        <is>
          <t>未提供证据记录</t>
        </is>
      </c>
      <c r="H124" s="4" t="inlineStr">
        <is>
          <t>复用已有代码/测试；按新包验收，未提供的证据不推定通过。</t>
        </is>
      </c>
      <c r="I124" s="4" t="inlineStr">
        <is>
          <t>验收1：干净环境可部署
验收2：备份可恢复
验收3：公网SIM全链路通</t>
        </is>
      </c>
      <c r="J124" s="4" t="inlineStr">
        <is>
          <t>一期单用户UI但保留tenant；不预建注册计费、多客户运维后台。</t>
        </is>
      </c>
      <c r="K124" s="4" t="inlineStr">
        <is>
          <t>T003、T029、T040、T113、T114</t>
        </is>
      </c>
      <c r="L124" s="4" t="inlineStr">
        <is>
          <t>原工作簿/02_实施任务!A124:O124；S31、S35</t>
        </is>
      </c>
    </row>
    <row r="125" ht="110" customHeight="1">
      <c r="A125" s="4" t="inlineStr">
        <is>
          <t>T120</t>
        </is>
      </c>
      <c r="B125" s="4" t="inlineStr">
        <is>
          <t>P0｜一期端到端完成门槛与交接</t>
        </is>
      </c>
      <c r="C125" s="4" t="inlineStr">
        <is>
          <t>未开始</t>
        </is>
      </c>
      <c r="D125" s="4" t="str"/>
      <c r="E125" s="4" t="inlineStr">
        <is>
          <t>P49</t>
        </is>
      </c>
      <c r="F125" s="4">
        <f>'01_闭环计划'!D55</f>
        <v/>
      </c>
      <c r="G125" s="4" t="inlineStr">
        <is>
          <t>未提供证据记录</t>
        </is>
      </c>
      <c r="H125" s="4" t="inlineStr">
        <is>
          <t>复用已有代码/测试；按新包验收，未提供的证据不推定通过。</t>
        </is>
      </c>
      <c r="I125" s="4" t="inlineStr">
        <is>
          <t>验收1：每项需求有证据
验收2：无静默localStorage假成功
验收3：不把未验证写完成</t>
        </is>
      </c>
      <c r="J125" s="4" t="inlineStr">
        <is>
          <t>完成定义：代码+测试+真实调用+真机证据。平台不可用项须真实证据并保持阻塞，不能由智能体自行豁免。</t>
        </is>
      </c>
      <c r="K125" s="4" t="inlineStr">
        <is>
          <t>T114、T115、T116、T117、T118、T119、T065、T066、T113</t>
        </is>
      </c>
      <c r="L125" s="4" t="inlineStr">
        <is>
          <t>原工作簿/02_实施任务!A125:O125；S01、S31</t>
        </is>
      </c>
    </row>
  </sheetData>
  <mergeCells count="2">
    <mergeCell ref="A1:L1"/>
    <mergeCell ref="A2:L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7" customWidth="1" min="3" max="3"/>
    <col width="53" customWidth="1" min="4" max="4"/>
    <col width="34" customWidth="1" min="5" max="5"/>
    <col width="18" customWidth="1" min="6" max="6"/>
    <col width="45" customWidth="1" min="7" max="7"/>
    <col width="44" customWidth="1" min="8" max="8"/>
  </cols>
  <sheetData>
    <row r="1" ht="38" customHeight="1">
      <c r="A1" s="11" t="inlineStr">
        <is>
          <t>05 / 原范围不删减 · 逐项验收</t>
        </is>
      </c>
      <c r="B1" s="1" t="n"/>
      <c r="C1" s="1" t="n"/>
      <c r="D1" s="1" t="n"/>
      <c r="E1" s="1" t="n"/>
      <c r="F1" s="1" t="n"/>
      <c r="G1" s="1" t="n"/>
      <c r="H1" s="1" t="n"/>
    </row>
    <row r="2" ht="24" customHeight="1">
      <c r="A2" s="15" t="inlineStr">
        <is>
          <t>20项R需求 + 12项原始范围 + 31项闲鱼目录。需求原文与“用户已确认 / 原稿设计默认”分开保留；所有平台缺口保留状态，只有用户明确变更范围后才能豁免。2026-09-08：当前验收改为 OnePlus 9R 单机分阶段；R01（10台/百台）与 R06（Note9）保留为后期扩展，不得标已通过、不得删除。</t>
        </is>
      </c>
      <c r="B2" s="1" t="n"/>
      <c r="C2" s="1" t="n"/>
      <c r="D2" s="1" t="n"/>
      <c r="E2" s="1" t="n"/>
      <c r="F2" s="1" t="n"/>
      <c r="G2" s="1" t="n"/>
      <c r="H2" s="1" t="n"/>
    </row>
    <row r="3" ht="24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 ht="34" customHeight="1">
      <c r="A5" s="17" t="inlineStr">
        <is>
          <t>类别</t>
        </is>
      </c>
      <c r="B5" s="17" t="inlineStr">
        <is>
          <t>原编号</t>
        </is>
      </c>
      <c r="C5" s="17" t="inlineStr">
        <is>
          <t>需求 / 目录名称</t>
        </is>
      </c>
      <c r="D5" s="17" t="inlineStr">
        <is>
          <t>原要求 / 处理说明</t>
        </is>
      </c>
      <c r="E5" s="17" t="inlineStr">
        <is>
          <t>新包归属</t>
        </is>
      </c>
      <c r="F5" s="17" t="inlineStr">
        <is>
          <t>验收状态（维护）</t>
        </is>
      </c>
      <c r="G5" s="17" t="inlineStr">
        <is>
          <t>约束 / 需求属性</t>
        </is>
      </c>
      <c r="H5" s="17" t="inlineStr">
        <is>
          <t>原表位置</t>
        </is>
      </c>
    </row>
    <row r="6" ht="90" customHeight="1">
      <c r="A6" s="4" t="inlineStr">
        <is>
          <t>已确认需求</t>
        </is>
      </c>
      <c r="B6" s="4" t="inlineStr">
        <is>
          <t>R01</t>
        </is>
      </c>
      <c r="C6" s="4" t="inlineStr">
        <is>
          <t>规模｜一期至少10台，面向百台扩展</t>
        </is>
      </c>
      <c r="D6" s="4" t="inlineStr">
        <is>
          <t>区分在线数、运行任务数和同时观看数；百台在线不等于百路高码率视频。</t>
        </is>
      </c>
      <c r="E6" s="4" t="inlineStr">
        <is>
          <t>P47、P48</t>
        </is>
      </c>
      <c r="F6" s="22" t="inlineStr">
        <is>
          <t>后期扩展（当前不阻塞）</t>
        </is>
      </c>
      <c r="G6" s="4" t="inlineStr">
        <is>
          <t>用户已确认</t>
        </is>
      </c>
      <c r="H6" s="4" t="inlineStr">
        <is>
          <t>原00_需求与架构!A30:H30</t>
        </is>
      </c>
    </row>
    <row r="7" ht="90" customHeight="1">
      <c r="A7" s="4" t="inlineStr">
        <is>
          <t>已确认需求</t>
        </is>
      </c>
      <c r="B7" s="4" t="inlineStr">
        <is>
          <t>R02</t>
        </is>
      </c>
      <c r="C7" s="4" t="inlineStr">
        <is>
          <t>连接｜SIM移动网络连接</t>
        </is>
      </c>
      <c r="D7" s="4" t="inlineStr">
        <is>
          <t>APK主动连接公网云端；手机和电脑不需同局域网。生产执行不依赖USB、ADB常驻或Edge Gateway。</t>
        </is>
      </c>
      <c r="E7" s="4" t="inlineStr">
        <is>
          <t>P03、P10、P48</t>
        </is>
      </c>
      <c r="F7" s="22" t="inlineStr">
        <is>
          <t>待验收</t>
        </is>
      </c>
      <c r="G7" s="4" t="inlineStr">
        <is>
          <t>用户已确认</t>
        </is>
      </c>
      <c r="H7" s="4" t="inlineStr">
        <is>
          <t>原00_需求与架构!A31:H31</t>
        </is>
      </c>
    </row>
    <row r="8" ht="90" customHeight="1">
      <c r="A8" s="4" t="inlineStr">
        <is>
          <t>已确认需求</t>
        </is>
      </c>
      <c r="B8" s="4" t="inlineStr">
        <is>
          <t>R03</t>
        </is>
      </c>
      <c r="C8" s="4" t="inlineStr">
        <is>
          <t>视频｜流畅实时视频是一期必做</t>
        </is>
      </c>
      <c r="D8" s="4" t="inlineStr">
        <is>
          <t>画面流畅优先，不追求最高分辨率；截图轮询仅作诊断/降级，不能作为实时投屏验收。</t>
        </is>
      </c>
      <c r="E8" s="4" t="inlineStr">
        <is>
          <t>P10、P12、P47</t>
        </is>
      </c>
      <c r="F8" s="22" t="inlineStr">
        <is>
          <t>待验收</t>
        </is>
      </c>
      <c r="G8" s="4" t="inlineStr">
        <is>
          <t>用户已确认</t>
        </is>
      </c>
      <c r="H8" s="4" t="inlineStr">
        <is>
          <t>原00_需求与架构!A32:H32</t>
        </is>
      </c>
    </row>
    <row r="9" ht="90" customHeight="1">
      <c r="A9" s="4" t="inlineStr">
        <is>
          <t>已确认需求</t>
        </is>
      </c>
      <c r="B9" s="4" t="inlineStr">
        <is>
          <t>R04</t>
        </is>
      </c>
      <c r="C9" s="4" t="inlineStr">
        <is>
          <t>远控｜观看不中断，写操作先接管</t>
        </is>
      </c>
      <c r="D9" s="4" t="inlineStr">
        <is>
          <t>点击、滑动、长按、文字输入、返回/Home/多任务；观看任务不占写锁，接管先暂停自动化。</t>
        </is>
      </c>
      <c r="E9" s="4" t="inlineStr">
        <is>
          <t>P08、P11、P12</t>
        </is>
      </c>
      <c r="F9" s="22" t="inlineStr">
        <is>
          <t>待验收</t>
        </is>
      </c>
      <c r="G9" s="4" t="inlineStr">
        <is>
          <t>用户已确认</t>
        </is>
      </c>
      <c r="H9" s="4" t="inlineStr">
        <is>
          <t>原00_需求与架构!A33:H33</t>
        </is>
      </c>
    </row>
    <row r="10" ht="90" customHeight="1">
      <c r="A10" s="4" t="inlineStr">
        <is>
          <t>已确认需求</t>
        </is>
      </c>
      <c r="B10" s="4" t="inlineStr">
        <is>
          <t>R05</t>
        </is>
      </c>
      <c r="C10" s="4" t="inlineStr">
        <is>
          <t>恢复｜人工处理后继续原任务</t>
        </is>
      </c>
      <c r="D10" s="4" t="inlineStr">
        <is>
          <t>未知页面保留现场并暂停；交回控制权后校验页面与检查点，再继续原taskId。取消和暂停必须分开。</t>
        </is>
      </c>
      <c r="E10" s="4" t="inlineStr">
        <is>
          <t>P08、P09、P11</t>
        </is>
      </c>
      <c r="F10" s="22" t="inlineStr">
        <is>
          <t>待验收</t>
        </is>
      </c>
      <c r="G10" s="4" t="inlineStr">
        <is>
          <t>用户已确认</t>
        </is>
      </c>
      <c r="H10" s="4" t="inlineStr">
        <is>
          <t>原00_需求与架构!A34:H34</t>
        </is>
      </c>
    </row>
    <row r="11" ht="90" customHeight="1">
      <c r="A11" s="4" t="inlineStr">
        <is>
          <t>已确认需求</t>
        </is>
      </c>
      <c r="B11" s="4" t="inlineStr">
        <is>
          <t>R06</t>
        </is>
      </c>
      <c r="C11" s="4" t="inlineStr">
        <is>
          <t>兼容｜红米Note9作为真实设备基线</t>
        </is>
      </c>
      <c r="D11" s="4" t="inlineStr">
        <is>
          <t>不猜Android版本。APK自动上报SDK/ROM/目标App版本；用户不用手填。手机常亮，允许无障碍、投屏授权和前台服务。</t>
        </is>
      </c>
      <c r="E11" s="4" t="inlineStr">
        <is>
          <t>P04、P13、P49</t>
        </is>
      </c>
      <c r="F11" s="22" t="inlineStr">
        <is>
          <t>后期扩展（当前不阻塞）</t>
        </is>
      </c>
      <c r="G11" s="4" t="inlineStr">
        <is>
          <t>用户已确认</t>
        </is>
      </c>
      <c r="H11" s="4" t="inlineStr">
        <is>
          <t>原00_需求与架构!A35:H35</t>
        </is>
      </c>
    </row>
    <row r="12" ht="90" customHeight="1">
      <c r="A12" s="4" t="inlineStr">
        <is>
          <t>已确认需求</t>
        </is>
      </c>
      <c r="B12" s="4" t="inlineStr">
        <is>
          <t>R07</t>
        </is>
      </c>
      <c r="C12" s="4" t="inlineStr">
        <is>
          <t>解耦｜云端负责做什么，APK负责怎么做</t>
        </is>
      </c>
      <c r="D12" s="4" t="inlineStr">
        <is>
          <t>云端负责内容、素材、业务快照、队列、定时、指令、状态；手机本地负责识别、动作、分支、采集和恢复。</t>
        </is>
      </c>
      <c r="E12" s="4" t="inlineStr">
        <is>
          <t>P01、P05、P06、P07</t>
        </is>
      </c>
      <c r="F12" s="22" t="inlineStr">
        <is>
          <t>待验收</t>
        </is>
      </c>
      <c r="G12" s="4" t="inlineStr">
        <is>
          <t>用户已确认</t>
        </is>
      </c>
      <c r="H12" s="4" t="inlineStr">
        <is>
          <t>原00_需求与架构!A36:H36</t>
        </is>
      </c>
    </row>
    <row r="13" ht="90" customHeight="1">
      <c r="A13" s="4" t="inlineStr">
        <is>
          <t>已确认需求</t>
        </is>
      </c>
      <c r="B13" s="4" t="inlineStr">
        <is>
          <t>R08</t>
        </is>
      </c>
      <c r="C13" s="4" t="inlineStr">
        <is>
          <t>更新｜APK整体升级+Recipe独立更新</t>
        </is>
      </c>
      <c r="D13" s="4" t="inlineStr">
        <is>
          <t>新版本生成并测试后，由用户在后台点击发布；未发布不可生效。运行中任务固定原版本。</t>
        </is>
      </c>
      <c r="E13" s="4" t="inlineStr">
        <is>
          <t>P14、P15</t>
        </is>
      </c>
      <c r="F13" s="22" t="inlineStr">
        <is>
          <t>待验收</t>
        </is>
      </c>
      <c r="G13" s="4" t="inlineStr">
        <is>
          <t>用户已确认</t>
        </is>
      </c>
      <c r="H13" s="4" t="inlineStr">
        <is>
          <t>原00_需求与架构!A37:H37</t>
        </is>
      </c>
    </row>
    <row r="14" ht="90" customHeight="1">
      <c r="A14" s="4" t="inlineStr">
        <is>
          <t>已确认需求</t>
        </is>
      </c>
      <c r="B14" s="4" t="inlineStr">
        <is>
          <t>R09</t>
        </is>
      </c>
      <c r="C14" s="4" t="inlineStr">
        <is>
          <t>队列｜立即/预约/周期；每设备串行FIFO</t>
        </is>
      </c>
      <c r="D14" s="4" t="inlineStr">
        <is>
          <t>闲鱼与小红书共享同台设备写队列；不做优先级。多设备操作生成独立任务，不新增父任务状态。</t>
        </is>
      </c>
      <c r="E14" s="4" t="inlineStr">
        <is>
          <t>P05、P06、P08</t>
        </is>
      </c>
      <c r="F14" s="22" t="inlineStr">
        <is>
          <t>待验收</t>
        </is>
      </c>
      <c r="G14" s="4" t="inlineStr">
        <is>
          <t>用户已确认</t>
        </is>
      </c>
      <c r="H14" s="4" t="inlineStr">
        <is>
          <t>原00_需求与架构!A38:H38</t>
        </is>
      </c>
    </row>
    <row r="15" ht="90" customHeight="1">
      <c r="A15" s="4" t="inlineStr">
        <is>
          <t>已确认需求</t>
        </is>
      </c>
      <c r="B15" s="4" t="inlineStr">
        <is>
          <t>R10</t>
        </is>
      </c>
      <c r="C15" s="4" t="inlineStr">
        <is>
          <t>账号｜每设备1闲鱼+1小红书，可解绑换绑</t>
        </is>
      </c>
      <c r="D15" s="4" t="inlineStr">
        <is>
          <t>两平台各自绑定。历史订单、发布实例、任务和统计归原账号；换绑不迁移历史。云端待发布内容库可复用。</t>
        </is>
      </c>
      <c r="E15" s="4" t="inlineStr">
        <is>
          <t>P03、P41、P43</t>
        </is>
      </c>
      <c r="F15" s="22" t="inlineStr">
        <is>
          <t>待验收</t>
        </is>
      </c>
      <c r="G15" s="4" t="inlineStr">
        <is>
          <t>用户已确认</t>
        </is>
      </c>
      <c r="H15" s="4" t="inlineStr">
        <is>
          <t>原00_需求与架构!A39:H39</t>
        </is>
      </c>
    </row>
    <row r="16" ht="90" customHeight="1">
      <c r="A16" s="4" t="inlineStr">
        <is>
          <t>已确认需求</t>
        </is>
      </c>
      <c r="B16" s="4" t="inlineStr">
        <is>
          <t>R11</t>
        </is>
      </c>
      <c r="C16" s="4" t="inlineStr">
        <is>
          <t>异常｜已知弹窗处理，未知暂停等人工</t>
        </is>
      </c>
      <c r="D16" s="4" t="inlineStr">
        <is>
          <t>登录失效、人机验证、风控及未知页面暂停并提供接管入口；不自动绕过平台或系统的验证/授权。</t>
        </is>
      </c>
      <c r="E16" s="4" t="inlineStr">
        <is>
          <t>P07、P08、P09、P13</t>
        </is>
      </c>
      <c r="F16" s="22" t="inlineStr">
        <is>
          <t>待验收</t>
        </is>
      </c>
      <c r="G16" s="4" t="inlineStr">
        <is>
          <t>用户已确认</t>
        </is>
      </c>
      <c r="H16" s="4" t="inlineStr">
        <is>
          <t>原00_需求与架构!A40:H40</t>
        </is>
      </c>
    </row>
    <row r="17" ht="90" customHeight="1">
      <c r="A17" s="4" t="inlineStr">
        <is>
          <t>已确认需求</t>
        </is>
      </c>
      <c r="B17" s="4" t="inlineStr">
        <is>
          <t>R12</t>
        </is>
      </c>
      <c r="C17" s="4" t="inlineStr">
        <is>
          <t>文件｜图片/视频上传、下发与使用</t>
        </is>
      </c>
      <c r="D17" s="4" t="inlineStr">
        <is>
          <t>素材必须云端持久化并下载到手机供发布；支持文件推送、截图保存和复制粘贴。剪贴板按系统授权边界实现。</t>
        </is>
      </c>
      <c r="E17" s="4" t="inlineStr">
        <is>
          <t>P11、P16、P17、P18</t>
        </is>
      </c>
      <c r="F17" s="22" t="inlineStr">
        <is>
          <t>待验收</t>
        </is>
      </c>
      <c r="G17" s="4" t="inlineStr">
        <is>
          <t>用户已确认</t>
        </is>
      </c>
      <c r="H17" s="4" t="inlineStr">
        <is>
          <t>原00_需求与架构!A41:H41</t>
        </is>
      </c>
    </row>
    <row r="18" ht="90" customHeight="1">
      <c r="A18" s="4" t="inlineStr">
        <is>
          <t>已确认需求</t>
        </is>
      </c>
      <c r="B18" s="4" t="inlineStr">
        <is>
          <t>R13</t>
        </is>
      </c>
      <c r="C18" s="4" t="inlineStr">
        <is>
          <t>保留｜长期保存，可由用户删除</t>
        </is>
      </c>
      <c r="D18" s="4" t="inlineStr">
        <is>
          <t>原素材、内容、订单、指标快照、任务和证据不默认到期删除；删除需引用检查及审计。直播画面不默认全程录像。</t>
        </is>
      </c>
      <c r="E18" s="4" t="inlineStr">
        <is>
          <t>P16、P18、P45</t>
        </is>
      </c>
      <c r="F18" s="22" t="inlineStr">
        <is>
          <t>待验收</t>
        </is>
      </c>
      <c r="G18" s="4" t="inlineStr">
        <is>
          <t>前句已确认；直播不录像为设计默认</t>
        </is>
      </c>
      <c r="H18" s="4" t="inlineStr">
        <is>
          <t>原00_需求与架构!A42:H42</t>
        </is>
      </c>
    </row>
    <row r="19" ht="90" customHeight="1">
      <c r="A19" s="4" t="inlineStr">
        <is>
          <t>已确认需求</t>
        </is>
      </c>
      <c r="B19" s="4" t="inlineStr">
        <is>
          <t>R14</t>
        </is>
      </c>
      <c r="C19" s="4" t="inlineStr">
        <is>
          <t>订单｜默认全部，可指定N个</t>
        </is>
      </c>
      <c r="D19" s="4" t="inlineStr">
        <is>
          <t>默认扫描当前授权账号可正常访问的全部订单；指定N按稳定顺序取N个去重订单。字段尽量完整；不可访问字段为null并说明原因。</t>
        </is>
      </c>
      <c r="E19" s="4" t="inlineStr">
        <is>
          <t>P41、P42</t>
        </is>
      </c>
      <c r="F19" s="22" t="inlineStr">
        <is>
          <t>待验收</t>
        </is>
      </c>
      <c r="G19" s="4" t="inlineStr">
        <is>
          <t>用户已确认</t>
        </is>
      </c>
      <c r="H19" s="4" t="inlineStr">
        <is>
          <t>原00_需求与架构!A43:H43</t>
        </is>
      </c>
    </row>
    <row r="20" ht="90" customHeight="1">
      <c r="A20" s="4" t="inlineStr">
        <is>
          <t>已确认需求</t>
        </is>
      </c>
      <c r="B20" s="4" t="inlineStr">
        <is>
          <t>R15</t>
        </is>
      </c>
      <c r="C20" s="4" t="inlineStr">
        <is>
          <t>采集｜宝贝信息尽量完整，保留历史</t>
        </is>
      </c>
      <c r="D20" s="4" t="inlineStr">
        <is>
          <t>区分未采到/无权限/平台不显示与真实0；每次采集追加快照，而非覆盖过去数据。</t>
        </is>
      </c>
      <c r="E20" s="4" t="inlineStr">
        <is>
          <t>P43、P44</t>
        </is>
      </c>
      <c r="F20" s="22" t="inlineStr">
        <is>
          <t>待验收</t>
        </is>
      </c>
      <c r="G20" s="4" t="inlineStr">
        <is>
          <t>范围已确认；历史模型为设计</t>
        </is>
      </c>
      <c r="H20" s="4" t="inlineStr">
        <is>
          <t>原00_需求与架构!A44:H44</t>
        </is>
      </c>
    </row>
    <row r="21" ht="90" customHeight="1">
      <c r="A21" s="4" t="inlineStr">
        <is>
          <t>已确认需求</t>
        </is>
      </c>
      <c r="B21" s="4" t="inlineStr">
        <is>
          <t>R16</t>
        </is>
      </c>
      <c r="C21" s="4" t="inlineStr">
        <is>
          <t>闲鱼｜授权任务全范围</t>
        </is>
      </c>
      <c r="D21" s="4" t="inlineStr">
        <is>
          <t>签到鱼币、抵扣、推广、好评均纳入；云端发明确指令参数，APK执行。涉及消耗/删除设确认和防重。</t>
        </is>
      </c>
      <c r="E21" s="4" t="inlineStr">
        <is>
          <t>P01、P28、P29、P30、P31、P32、P33、P34、P35、P36、P37、P38、P39、P40、P49</t>
        </is>
      </c>
      <c r="F21" s="22" t="inlineStr">
        <is>
          <t>待验收</t>
        </is>
      </c>
      <c r="G21" s="4" t="inlineStr">
        <is>
          <t>用户已确认</t>
        </is>
      </c>
      <c r="H21" s="4" t="inlineStr">
        <is>
          <t>原00_需求与架构!A45:H45</t>
        </is>
      </c>
    </row>
    <row r="22" ht="90" customHeight="1">
      <c r="A22" s="4" t="inlineStr">
        <is>
          <t>已确认需求</t>
        </is>
      </c>
      <c r="B22" s="4" t="inlineStr">
        <is>
          <t>R17</t>
        </is>
      </c>
      <c r="C22" s="4" t="inlineStr">
        <is>
          <t>小红书｜只做发布笔记，不多开</t>
        </is>
      </c>
      <c r="D22" s="4" t="inlineStr">
        <is>
          <t>图片/视频、正文、标题、标签及现有发布模式接通；不要求用户手填App版本。不可承诺未知版本全部兼容。</t>
        </is>
      </c>
      <c r="E22" s="4" t="inlineStr">
        <is>
          <t>P24、P25、P26、P27</t>
        </is>
      </c>
      <c r="F22" s="22" t="inlineStr">
        <is>
          <t>待验收</t>
        </is>
      </c>
      <c r="G22" s="4" t="inlineStr">
        <is>
          <t>用户已确认</t>
        </is>
      </c>
      <c r="H22" s="4" t="inlineStr">
        <is>
          <t>原00_需求与架构!A46:H46</t>
        </is>
      </c>
    </row>
    <row r="23" ht="90" customHeight="1">
      <c r="A23" s="4" t="inlineStr">
        <is>
          <t>已确认需求</t>
        </is>
      </c>
      <c r="B23" s="4" t="inlineStr">
        <is>
          <t>R18</t>
        </is>
      </c>
      <c r="C23" s="4" t="inlineStr">
        <is>
          <t>部署｜一期个人，二期多客户</t>
        </is>
      </c>
      <c r="D23" s="4" t="inlineStr">
        <is>
          <t>保留tenant_id、鉴权和审计，不在一期新增客户注册、计费和复杂组织管理。</t>
        </is>
      </c>
      <c r="E23" s="4" t="inlineStr">
        <is>
          <t>P02、P46、P48</t>
        </is>
      </c>
      <c r="F23" s="22" t="inlineStr">
        <is>
          <t>待验收</t>
        </is>
      </c>
      <c r="G23" s="4" t="inlineStr">
        <is>
          <t>用户已确认</t>
        </is>
      </c>
      <c r="H23" s="4" t="inlineStr">
        <is>
          <t>原00_需求与架构!A47:H47</t>
        </is>
      </c>
    </row>
    <row r="24" ht="90" customHeight="1">
      <c r="A24" s="4" t="inlineStr">
        <is>
          <t>已确认需求</t>
        </is>
      </c>
      <c r="B24" s="4" t="inlineStr">
        <is>
          <t>R19</t>
        </is>
      </c>
      <c r="C24" s="4" t="inlineStr">
        <is>
          <t>产品｜产品编辑六类+商品管理三类</t>
        </is>
      </c>
      <c r="D24" s="4" t="inlineStr">
        <is>
          <t>普通宝贝、水印、通用地址池、设备地址池、描述池、标签池；商品列表、导入、分组。</t>
        </is>
      </c>
      <c r="E24" s="4" t="inlineStr">
        <is>
          <t>P19、P20、P21、P22</t>
        </is>
      </c>
      <c r="F24" s="22" t="inlineStr">
        <is>
          <t>待验收</t>
        </is>
      </c>
      <c r="G24" s="4" t="inlineStr">
        <is>
          <t>用户已确认</t>
        </is>
      </c>
      <c r="H24" s="4" t="inlineStr">
        <is>
          <t>原00_需求与架构!A48:H48</t>
        </is>
      </c>
    </row>
    <row r="25" ht="90" customHeight="1">
      <c r="A25" s="4" t="inlineStr">
        <is>
          <t>已确认需求</t>
        </is>
      </c>
      <c r="B25" s="4" t="inlineStr">
        <is>
          <t>R20</t>
        </is>
      </c>
      <c r="C25" s="4" t="inlineStr">
        <is>
          <t>范围｜不加入未要求的二期业务</t>
        </is>
      </c>
      <c r="D25" s="4" t="inlineStr">
        <is>
          <t>不扩到转转、抖音、公众号、采购、自动客服等。旧入口不应伪装为一期可用；真实缺口列出证据。</t>
        </is>
      </c>
      <c r="E25" s="4" t="inlineStr">
        <is>
          <t>P00、P01、P49</t>
        </is>
      </c>
      <c r="F25" s="22" t="inlineStr">
        <is>
          <t>待验收</t>
        </is>
      </c>
      <c r="G25" s="4" t="inlineStr">
        <is>
          <t>按原始范围约束</t>
        </is>
      </c>
      <c r="H25" s="4" t="inlineStr">
        <is>
          <t>原00_需求与架构!A49:H49</t>
        </is>
      </c>
    </row>
    <row r="26" ht="90" customHeight="1">
      <c r="A26" s="4" t="inlineStr">
        <is>
          <t>原始范围</t>
        </is>
      </c>
      <c r="B26" s="4" t="inlineStr">
        <is>
          <t>SC01</t>
        </is>
      </c>
      <c r="C26" s="4" t="inlineStr">
        <is>
          <t>设备列表 / 实时视频 / 远控</t>
        </is>
      </c>
      <c r="D26" s="4" t="inlineStr">
        <is>
          <t>SIM公网观看、接管和继续原任务</t>
        </is>
      </c>
      <c r="E26" s="4" t="inlineStr">
        <is>
          <t>P12</t>
        </is>
      </c>
      <c r="F26" s="22" t="inlineStr">
        <is>
          <t>待验收</t>
        </is>
      </c>
      <c r="G26" s="4" t="inlineStr">
        <is>
          <t>T038</t>
        </is>
      </c>
      <c r="H26" s="4" t="inlineStr">
        <is>
          <t>原00_需求与架构!A83:H83</t>
        </is>
      </c>
    </row>
    <row r="27" ht="90" customHeight="1">
      <c r="A27" s="4" t="inlineStr">
        <is>
          <t>原始范围</t>
        </is>
      </c>
      <c r="B27" s="4" t="inlineStr">
        <is>
          <t>SC02</t>
        </is>
      </c>
      <c r="C27" s="4" t="inlineStr">
        <is>
          <t>普通宝贝编辑</t>
        </is>
      </c>
      <c r="D27" s="4" t="inlineStr">
        <is>
          <t>完整字段与素材持久化</t>
        </is>
      </c>
      <c r="E27" s="4" t="inlineStr">
        <is>
          <t>P21</t>
        </is>
      </c>
      <c r="F27" s="22" t="inlineStr">
        <is>
          <t>待验收</t>
        </is>
      </c>
      <c r="G27" s="4" t="inlineStr">
        <is>
          <t>T061</t>
        </is>
      </c>
      <c r="H27" s="4" t="inlineStr">
        <is>
          <t>原00_需求与架构!A84:H84</t>
        </is>
      </c>
    </row>
    <row r="28" ht="90" customHeight="1">
      <c r="A28" s="4" t="inlineStr">
        <is>
          <t>原始范围</t>
        </is>
      </c>
      <c r="B28" s="4" t="inlineStr">
        <is>
          <t>SC03</t>
        </is>
      </c>
      <c r="C28" s="4" t="inlineStr">
        <is>
          <t>宝贝水印</t>
        </is>
      </c>
      <c r="D28" s="4" t="inlineStr">
        <is>
          <t>模板/派生/发布素材链路</t>
        </is>
      </c>
      <c r="E28" s="4" t="inlineStr">
        <is>
          <t>P19</t>
        </is>
      </c>
      <c r="F28" s="22" t="inlineStr">
        <is>
          <t>待验收</t>
        </is>
      </c>
      <c r="G28" s="4" t="inlineStr">
        <is>
          <t>T053</t>
        </is>
      </c>
      <c r="H28" s="4" t="inlineStr">
        <is>
          <t>原00_需求与架构!A85:H85</t>
        </is>
      </c>
    </row>
    <row r="29" ht="90" customHeight="1">
      <c r="A29" s="4" t="inlineStr">
        <is>
          <t>原始范围</t>
        </is>
      </c>
      <c r="B29" s="4" t="inlineStr">
        <is>
          <t>SC04</t>
        </is>
      </c>
      <c r="C29" s="4" t="inlineStr">
        <is>
          <t>通用 / 设备地址池</t>
        </is>
      </c>
      <c r="D29" s="4" t="inlineStr">
        <is>
          <t>真实CRUD、绑定、快照选用</t>
        </is>
      </c>
      <c r="E29" s="4" t="inlineStr">
        <is>
          <t>P20</t>
        </is>
      </c>
      <c r="F29" s="22" t="inlineStr">
        <is>
          <t>待验收</t>
        </is>
      </c>
      <c r="G29" s="4" t="inlineStr">
        <is>
          <t>T055</t>
        </is>
      </c>
      <c r="H29" s="4" t="inlineStr">
        <is>
          <t>原00_需求与架构!A86:H86</t>
        </is>
      </c>
    </row>
    <row r="30" ht="90" customHeight="1">
      <c r="A30" s="4" t="inlineStr">
        <is>
          <t>原始范围</t>
        </is>
      </c>
      <c r="B30" s="4" t="inlineStr">
        <is>
          <t>SC05</t>
        </is>
      </c>
      <c r="C30" s="4" t="inlineStr">
        <is>
          <t>宝贝描述池 / 标签池</t>
        </is>
      </c>
      <c r="D30" s="4" t="inlineStr">
        <is>
          <t>描述任务 + T057 标签任务</t>
        </is>
      </c>
      <c r="E30" s="4" t="inlineStr">
        <is>
          <t>P20</t>
        </is>
      </c>
      <c r="F30" s="22" t="inlineStr">
        <is>
          <t>待验收</t>
        </is>
      </c>
      <c r="G30" s="4" t="inlineStr">
        <is>
          <t>T056</t>
        </is>
      </c>
      <c r="H30" s="4" t="inlineStr">
        <is>
          <t>原00_需求与架构!A87:H87</t>
        </is>
      </c>
    </row>
    <row r="31" ht="90" customHeight="1">
      <c r="A31" s="4" t="inlineStr">
        <is>
          <t>原始范围</t>
        </is>
      </c>
      <c r="B31" s="4" t="inlineStr">
        <is>
          <t>SC06</t>
        </is>
      </c>
      <c r="C31" s="4" t="inlineStr">
        <is>
          <t>商品列表 / 分组</t>
        </is>
      </c>
      <c r="D31" s="4" t="inlineStr">
        <is>
          <t>分组另见 T060</t>
        </is>
      </c>
      <c r="E31" s="4" t="inlineStr">
        <is>
          <t>P21</t>
        </is>
      </c>
      <c r="F31" s="22" t="inlineStr">
        <is>
          <t>待验收</t>
        </is>
      </c>
      <c r="G31" s="4" t="inlineStr">
        <is>
          <t>T062</t>
        </is>
      </c>
      <c r="H31" s="4" t="inlineStr">
        <is>
          <t>原00_需求与架构!A88:H88</t>
        </is>
      </c>
    </row>
    <row r="32" ht="90" customHeight="1">
      <c r="A32" s="4" t="inlineStr">
        <is>
          <t>原始范围</t>
        </is>
      </c>
      <c r="B32" s="4" t="inlineStr">
        <is>
          <t>SC07</t>
        </is>
      </c>
      <c r="C32" s="4" t="inlineStr">
        <is>
          <t>商品导入</t>
        </is>
      </c>
      <c r="D32" s="4" t="inlineStr">
        <is>
          <t>预检、幂等、媒体与错误清单</t>
        </is>
      </c>
      <c r="E32" s="4" t="inlineStr">
        <is>
          <t>P22</t>
        </is>
      </c>
      <c r="F32" s="22" t="inlineStr">
        <is>
          <t>待验收</t>
        </is>
      </c>
      <c r="G32" s="4" t="inlineStr">
        <is>
          <t>T065</t>
        </is>
      </c>
      <c r="H32" s="4" t="inlineStr">
        <is>
          <t>原00_需求与架构!A89:H89</t>
        </is>
      </c>
    </row>
    <row r="33" ht="90" customHeight="1">
      <c r="A33" s="4" t="inlineStr">
        <is>
          <t>原始范围</t>
        </is>
      </c>
      <c r="B33" s="4" t="inlineStr">
        <is>
          <t>SC08</t>
        </is>
      </c>
      <c r="C33" s="4" t="inlineStr">
        <is>
          <t>帖子编辑与管理</t>
        </is>
      </c>
      <c r="D33" s="4" t="inlineStr">
        <is>
          <t>列表/分组/删除另见 T069</t>
        </is>
      </c>
      <c r="E33" s="4" t="inlineStr">
        <is>
          <t>P24</t>
        </is>
      </c>
      <c r="F33" s="22" t="inlineStr">
        <is>
          <t>待验收</t>
        </is>
      </c>
      <c r="G33" s="4" t="inlineStr">
        <is>
          <t>T068</t>
        </is>
      </c>
      <c r="H33" s="4" t="inlineStr">
        <is>
          <t>原00_需求与架构!A90:H90</t>
        </is>
      </c>
    </row>
    <row r="34" ht="90" customHeight="1">
      <c r="A34" s="4" t="inlineStr">
        <is>
          <t>原始范围</t>
        </is>
      </c>
      <c r="B34" s="4" t="inlineStr">
        <is>
          <t>SC09</t>
        </is>
      </c>
      <c r="C34" s="4" t="inlineStr">
        <is>
          <t>小红书发布笔记</t>
        </is>
      </c>
      <c r="D34" s="4" t="inlineStr">
        <is>
          <t>两入口共用、图文和视频</t>
        </is>
      </c>
      <c r="E34" s="4" t="inlineStr">
        <is>
          <t>P25</t>
        </is>
      </c>
      <c r="F34" s="22" t="inlineStr">
        <is>
          <t>待验收</t>
        </is>
      </c>
      <c r="G34" s="4" t="inlineStr">
        <is>
          <t>T076</t>
        </is>
      </c>
      <c r="H34" s="4" t="inlineStr">
        <is>
          <t>原00_需求与架构!A91:H91</t>
        </is>
      </c>
    </row>
    <row r="35" ht="90" customHeight="1">
      <c r="A35" s="4" t="inlineStr">
        <is>
          <t>原始范围</t>
        </is>
      </c>
      <c r="B35" s="4" t="inlineStr">
        <is>
          <t>SC10</t>
        </is>
      </c>
      <c r="C35" s="4" t="inlineStr">
        <is>
          <t>闲鱼订单同步</t>
        </is>
      </c>
      <c r="D35" s="4" t="inlineStr">
        <is>
          <t>默认全部 / 指定N / 字段可用性</t>
        </is>
      </c>
      <c r="E35" s="4" t="inlineStr">
        <is>
          <t>P41</t>
        </is>
      </c>
      <c r="F35" s="22" t="inlineStr">
        <is>
          <t>待验收</t>
        </is>
      </c>
      <c r="G35" s="4" t="inlineStr">
        <is>
          <t>T108</t>
        </is>
      </c>
      <c r="H35" s="4" t="inlineStr">
        <is>
          <t>原00_需求与架构!A92:H92</t>
        </is>
      </c>
    </row>
    <row r="36" ht="90" customHeight="1">
      <c r="A36" s="4" t="inlineStr">
        <is>
          <t>原始范围</t>
        </is>
      </c>
      <c r="B36" s="4" t="inlineStr">
        <is>
          <t>SC11</t>
        </is>
      </c>
      <c r="C36" s="4" t="inlineStr">
        <is>
          <t>宝贝信息采集</t>
        </is>
      </c>
      <c r="D36" s="4" t="inlineStr">
        <is>
          <t>完整可见数据与历史快照</t>
        </is>
      </c>
      <c r="E36" s="4" t="inlineStr">
        <is>
          <t>P43</t>
        </is>
      </c>
      <c r="F36" s="22" t="inlineStr">
        <is>
          <t>待验收</t>
        </is>
      </c>
      <c r="G36" s="4" t="inlineStr">
        <is>
          <t>T112</t>
        </is>
      </c>
      <c r="H36" s="4" t="inlineStr">
        <is>
          <t>原00_需求与架构!A93:H93</t>
        </is>
      </c>
    </row>
    <row r="37" ht="90" customHeight="1">
      <c r="A37" s="4" t="inlineStr">
        <is>
          <t>原始范围</t>
        </is>
      </c>
      <c r="B37" s="4" t="inlineStr">
        <is>
          <t>SC12</t>
        </is>
      </c>
      <c r="C37" s="4" t="inlineStr">
        <is>
          <t>闲鱼授权任务全目录</t>
        </is>
      </c>
      <c r="D37" s="4" t="inlineStr">
        <is>
          <t>下方31项逐一覆盖</t>
        </is>
      </c>
      <c r="E37" s="4" t="inlineStr">
        <is>
          <t>P49</t>
        </is>
      </c>
      <c r="F37" s="22" t="inlineStr">
        <is>
          <t>待验收</t>
        </is>
      </c>
      <c r="G37" s="4" t="inlineStr">
        <is>
          <t>T104</t>
        </is>
      </c>
      <c r="H37" s="4" t="inlineStr">
        <is>
          <t>原00_需求与架构!A94:H94</t>
        </is>
      </c>
    </row>
    <row r="38" ht="90" customHeight="1">
      <c r="A38" s="4" t="inlineStr">
        <is>
          <t>闲鱼31目录</t>
        </is>
      </c>
      <c r="B38" s="4" t="inlineStr">
        <is>
          <t>xy-tasks-01</t>
        </is>
      </c>
      <c r="C38" s="4" t="inlineStr">
        <is>
          <t>发布商品</t>
        </is>
      </c>
      <c r="D38" s="4" t="inlineStr">
        <is>
          <t>真实发布命令</t>
        </is>
      </c>
      <c r="E38" s="4" t="inlineStr">
        <is>
          <t>P28</t>
        </is>
      </c>
      <c r="F38" s="22" t="inlineStr">
        <is>
          <t>待验收</t>
        </is>
      </c>
      <c r="G38" s="4" t="inlineStr">
        <is>
          <t>保留原operationId与动作语义</t>
        </is>
      </c>
      <c r="H38" s="4" t="inlineStr">
        <is>
          <t>原00_需求与架构!A97:H97；T081</t>
        </is>
      </c>
    </row>
    <row r="39" ht="90" customHeight="1">
      <c r="A39" s="4" t="inlineStr">
        <is>
          <t>闲鱼31目录</t>
        </is>
      </c>
      <c r="B39" s="4" t="inlineStr">
        <is>
          <t>xy-tasks-02</t>
        </is>
      </c>
      <c r="C39" s="4" t="inlineStr">
        <is>
          <t>发布帖子</t>
        </is>
      </c>
      <c r="D39" s="4" t="inlineStr">
        <is>
          <t>先核查入口，存在则实现</t>
        </is>
      </c>
      <c r="E39" s="4" t="inlineStr">
        <is>
          <t>P39</t>
        </is>
      </c>
      <c r="F39" s="22" t="inlineStr">
        <is>
          <t>待验收</t>
        </is>
      </c>
      <c r="G39" s="4" t="inlineStr">
        <is>
          <t>先真机核查；不存在也保持平台阻塞，未经用户变更不得剔除。</t>
        </is>
      </c>
      <c r="H39" s="4" t="inlineStr">
        <is>
          <t>原00_需求与架构!A98:H98；T102</t>
        </is>
      </c>
    </row>
    <row r="40" ht="90" customHeight="1">
      <c r="A40" s="4" t="inlineStr">
        <is>
          <t>闲鱼31目录</t>
        </is>
      </c>
      <c r="B40" s="4" t="inlineStr">
        <is>
          <t>xy-tasks-03</t>
        </is>
      </c>
      <c r="C40" s="4" t="inlineStr">
        <is>
          <t>擦亮商品</t>
        </is>
      </c>
      <c r="D40" s="4" t="inlineStr">
        <is>
          <t>真实命令</t>
        </is>
      </c>
      <c r="E40" s="4" t="inlineStr">
        <is>
          <t>P29</t>
        </is>
      </c>
      <c r="F40" s="22" t="inlineStr">
        <is>
          <t>待验收</t>
        </is>
      </c>
      <c r="G40" s="4" t="inlineStr">
        <is>
          <t>保留原operationId与动作语义</t>
        </is>
      </c>
      <c r="H40" s="4" t="inlineStr">
        <is>
          <t>原00_需求与架构!A99:H99；T082</t>
        </is>
      </c>
    </row>
    <row r="41" ht="90" customHeight="1">
      <c r="A41" s="4" t="inlineStr">
        <is>
          <t>闲鱼31目录</t>
        </is>
      </c>
      <c r="B41" s="4" t="inlineStr">
        <is>
          <t>xy-tasks-04</t>
        </is>
      </c>
      <c r="C41" s="4" t="inlineStr">
        <is>
          <t>上架商品</t>
        </is>
      </c>
      <c r="D41" s="4" t="inlineStr">
        <is>
          <t>真实命令</t>
        </is>
      </c>
      <c r="E41" s="4" t="inlineStr">
        <is>
          <t>P29</t>
        </is>
      </c>
      <c r="F41" s="22" t="inlineStr">
        <is>
          <t>待验收</t>
        </is>
      </c>
      <c r="G41" s="4" t="inlineStr">
        <is>
          <t>保留原operationId与动作语义</t>
        </is>
      </c>
      <c r="H41" s="4" t="inlineStr">
        <is>
          <t>原00_需求与架构!A100:H100；T083</t>
        </is>
      </c>
    </row>
    <row r="42" ht="90" customHeight="1">
      <c r="A42" s="4" t="inlineStr">
        <is>
          <t>闲鱼31目录</t>
        </is>
      </c>
      <c r="B42" s="4" t="inlineStr">
        <is>
          <t>xy-tasks-05</t>
        </is>
      </c>
      <c r="C42" s="4" t="inlineStr">
        <is>
          <t>下架商品</t>
        </is>
      </c>
      <c r="D42" s="4" t="inlineStr">
        <is>
          <t>真实命令</t>
        </is>
      </c>
      <c r="E42" s="4" t="inlineStr">
        <is>
          <t>P29</t>
        </is>
      </c>
      <c r="F42" s="22" t="inlineStr">
        <is>
          <t>待验收</t>
        </is>
      </c>
      <c r="G42" s="4" t="inlineStr">
        <is>
          <t>保留原operationId与动作语义</t>
        </is>
      </c>
      <c r="H42" s="4" t="inlineStr">
        <is>
          <t>原00_需求与架构!A101:H101；T084</t>
        </is>
      </c>
    </row>
    <row r="43" ht="90" customHeight="1">
      <c r="A43" s="4" t="inlineStr">
        <is>
          <t>闲鱼31目录</t>
        </is>
      </c>
      <c r="B43" s="4" t="inlineStr">
        <is>
          <t>xy-tasks-06</t>
        </is>
      </c>
      <c r="C43" s="4" t="inlineStr">
        <is>
          <t>删除商品</t>
        </is>
      </c>
      <c r="D43" s="4" t="inlineStr">
        <is>
          <t>真实命令/确认防重</t>
        </is>
      </c>
      <c r="E43" s="4" t="inlineStr">
        <is>
          <t>P30</t>
        </is>
      </c>
      <c r="F43" s="22" t="inlineStr">
        <is>
          <t>待验收</t>
        </is>
      </c>
      <c r="G43" s="4" t="inlineStr">
        <is>
          <t>保留原operationId与动作语义</t>
        </is>
      </c>
      <c r="H43" s="4" t="inlineStr">
        <is>
          <t>原00_需求与架构!A102:H102；T085</t>
        </is>
      </c>
    </row>
    <row r="44" ht="90" customHeight="1">
      <c r="A44" s="4" t="inlineStr">
        <is>
          <t>闲鱼31目录</t>
        </is>
      </c>
      <c r="B44" s="4" t="inlineStr">
        <is>
          <t>xy-tasks-07</t>
        </is>
      </c>
      <c r="C44" s="4" t="inlineStr">
        <is>
          <t>删除帖子</t>
        </is>
      </c>
      <c r="D44" s="4" t="inlineStr">
        <is>
          <t>先核查入口，存在则实现</t>
        </is>
      </c>
      <c r="E44" s="4" t="inlineStr">
        <is>
          <t>P39</t>
        </is>
      </c>
      <c r="F44" s="22" t="inlineStr">
        <is>
          <t>待验收</t>
        </is>
      </c>
      <c r="G44" s="4" t="inlineStr">
        <is>
          <t>先真机核查；不存在也保持平台阻塞，未经用户变更不得剔除。</t>
        </is>
      </c>
      <c r="H44" s="4" t="inlineStr">
        <is>
          <t>原00_需求与架构!A103:H103；T102</t>
        </is>
      </c>
    </row>
    <row r="45" ht="90" customHeight="1">
      <c r="A45" s="4" t="inlineStr">
        <is>
          <t>闲鱼31目录</t>
        </is>
      </c>
      <c r="B45" s="4" t="inlineStr">
        <is>
          <t>xy-tasks-08</t>
        </is>
      </c>
      <c r="C45" s="4" t="inlineStr">
        <is>
          <t>绑定闲鱼</t>
        </is>
      </c>
      <c r="D45" s="4" t="inlineStr">
        <is>
          <t>账号探测与绑定</t>
        </is>
      </c>
      <c r="E45" s="4" t="inlineStr">
        <is>
          <t>P03</t>
        </is>
      </c>
      <c r="F45" s="22" t="inlineStr">
        <is>
          <t>待验收</t>
        </is>
      </c>
      <c r="G45" s="4" t="inlineStr">
        <is>
          <t>保留原operationId与动作语义</t>
        </is>
      </c>
      <c r="H45" s="4" t="inlineStr">
        <is>
          <t>原00_需求与架构!A104:H104；T086</t>
        </is>
      </c>
    </row>
    <row r="46" ht="90" customHeight="1">
      <c r="A46" s="4" t="inlineStr">
        <is>
          <t>闲鱼31目录</t>
        </is>
      </c>
      <c r="B46" s="4" t="inlineStr">
        <is>
          <t>xy-tasks-09</t>
        </is>
      </c>
      <c r="C46" s="4" t="inlineStr">
        <is>
          <t>签到鱼币</t>
        </is>
      </c>
      <c r="D46" s="4" t="inlineStr">
        <is>
          <t>纳入一期</t>
        </is>
      </c>
      <c r="E46" s="4" t="inlineStr">
        <is>
          <t>P31</t>
        </is>
      </c>
      <c r="F46" s="22" t="inlineStr">
        <is>
          <t>待验收</t>
        </is>
      </c>
      <c r="G46" s="4" t="inlineStr">
        <is>
          <t>保留原operationId与动作语义</t>
        </is>
      </c>
      <c r="H46" s="4" t="inlineStr">
        <is>
          <t>原00_需求与架构!A105:H105；T087</t>
        </is>
      </c>
    </row>
    <row r="47" ht="90" customHeight="1">
      <c r="A47" s="4" t="inlineStr">
        <is>
          <t>闲鱼31目录</t>
        </is>
      </c>
      <c r="B47" s="4" t="inlineStr">
        <is>
          <t>xy-tasks-10</t>
        </is>
      </c>
      <c r="C47" s="4" t="inlineStr">
        <is>
          <t>鱼币抵扣</t>
        </is>
      </c>
      <c r="D47" s="4" t="inlineStr">
        <is>
          <t>纳入一期</t>
        </is>
      </c>
      <c r="E47" s="4" t="inlineStr">
        <is>
          <t>P31</t>
        </is>
      </c>
      <c r="F47" s="22" t="inlineStr">
        <is>
          <t>待验收</t>
        </is>
      </c>
      <c r="G47" s="4" t="inlineStr">
        <is>
          <t>保留原operationId与动作语义</t>
        </is>
      </c>
      <c r="H47" s="4" t="inlineStr">
        <is>
          <t>原00_需求与架构!A106:H106；T088</t>
        </is>
      </c>
    </row>
    <row r="48" ht="90" customHeight="1">
      <c r="A48" s="4" t="inlineStr">
        <is>
          <t>闲鱼31目录</t>
        </is>
      </c>
      <c r="B48" s="4" t="inlineStr">
        <is>
          <t>xy-tasks-11</t>
        </is>
      </c>
      <c r="C48" s="4" t="inlineStr">
        <is>
          <t>鱼币推广</t>
        </is>
      </c>
      <c r="D48" s="4" t="inlineStr">
        <is>
          <t>纳入一期/预算防重</t>
        </is>
      </c>
      <c r="E48" s="4" t="inlineStr">
        <is>
          <t>P32</t>
        </is>
      </c>
      <c r="F48" s="22" t="inlineStr">
        <is>
          <t>待验收</t>
        </is>
      </c>
      <c r="G48" s="4" t="inlineStr">
        <is>
          <t>保留原operationId与动作语义</t>
        </is>
      </c>
      <c r="H48" s="4" t="inlineStr">
        <is>
          <t>原00_需求与架构!A107:H107；T089</t>
        </is>
      </c>
    </row>
    <row r="49" ht="90" customHeight="1">
      <c r="A49" s="4" t="inlineStr">
        <is>
          <t>闲鱼31目录</t>
        </is>
      </c>
      <c r="B49" s="4" t="inlineStr">
        <is>
          <t>xy-tasks-12</t>
        </is>
      </c>
      <c r="C49" s="4" t="inlineStr">
        <is>
          <t>一键小刀</t>
        </is>
      </c>
      <c r="D49" s="4" t="inlineStr">
        <is>
          <t>不同于降价</t>
        </is>
      </c>
      <c r="E49" s="4" t="inlineStr">
        <is>
          <t>P33</t>
        </is>
      </c>
      <c r="F49" s="22" t="inlineStr">
        <is>
          <t>待验收</t>
        </is>
      </c>
      <c r="G49" s="4" t="inlineStr">
        <is>
          <t>保留原operationId与动作语义</t>
        </is>
      </c>
      <c r="H49" s="4" t="inlineStr">
        <is>
          <t>原00_需求与架构!A108:H108；T090</t>
        </is>
      </c>
    </row>
    <row r="50" ht="90" customHeight="1">
      <c r="A50" s="4" t="inlineStr">
        <is>
          <t>闲鱼31目录</t>
        </is>
      </c>
      <c r="B50" s="4" t="inlineStr">
        <is>
          <t>xy-tasks-13</t>
        </is>
      </c>
      <c r="C50" s="4" t="inlineStr">
        <is>
          <t>一键降价</t>
        </is>
      </c>
      <c r="D50" s="4" t="inlineStr">
        <is>
          <t>冻结新价，重试不二次降</t>
        </is>
      </c>
      <c r="E50" s="4" t="inlineStr">
        <is>
          <t>P33</t>
        </is>
      </c>
      <c r="F50" s="22" t="inlineStr">
        <is>
          <t>待验收</t>
        </is>
      </c>
      <c r="G50" s="4" t="inlineStr">
        <is>
          <t>保留原operationId与动作语义</t>
        </is>
      </c>
      <c r="H50" s="4" t="inlineStr">
        <is>
          <t>原00_需求与架构!A109:H109；T091</t>
        </is>
      </c>
    </row>
    <row r="51" ht="90" customHeight="1">
      <c r="A51" s="4" t="inlineStr">
        <is>
          <t>闲鱼31目录</t>
        </is>
      </c>
      <c r="B51" s="4" t="inlineStr">
        <is>
          <t>xy-tasks-14</t>
        </is>
      </c>
      <c r="C51" s="4" t="inlineStr">
        <is>
          <t>一键好评</t>
        </is>
      </c>
      <c r="D51" s="4" t="inlineStr">
        <is>
          <t>真实交易评价/防重</t>
        </is>
      </c>
      <c r="E51" s="4" t="inlineStr">
        <is>
          <t>P34</t>
        </is>
      </c>
      <c r="F51" s="22" t="inlineStr">
        <is>
          <t>待验收</t>
        </is>
      </c>
      <c r="G51" s="4" t="inlineStr">
        <is>
          <t>保留原operationId与动作语义</t>
        </is>
      </c>
      <c r="H51" s="4" t="inlineStr">
        <is>
          <t>原00_需求与架构!A110:H110；T092</t>
        </is>
      </c>
    </row>
    <row r="52" ht="90" customHeight="1">
      <c r="A52" s="4" t="inlineStr">
        <is>
          <t>闲鱼31目录</t>
        </is>
      </c>
      <c r="B52" s="4" t="inlineStr">
        <is>
          <t>xy-tasks-15</t>
        </is>
      </c>
      <c r="C52" s="4" t="inlineStr">
        <is>
          <t>重启闲鱼</t>
        </is>
      </c>
      <c r="D52" s="4" t="inlineStr">
        <is>
          <t>标准权限可用路径</t>
        </is>
      </c>
      <c r="E52" s="4" t="inlineStr">
        <is>
          <t>P35</t>
        </is>
      </c>
      <c r="F52" s="22" t="inlineStr">
        <is>
          <t>待验收</t>
        </is>
      </c>
      <c r="G52" s="4" t="inlineStr">
        <is>
          <t>保留原operationId与动作语义</t>
        </is>
      </c>
      <c r="H52" s="4" t="inlineStr">
        <is>
          <t>原00_需求与架构!A111:H111；T093</t>
        </is>
      </c>
    </row>
    <row r="53" ht="90" customHeight="1">
      <c r="A53" s="4" t="inlineStr">
        <is>
          <t>闲鱼31目录</t>
        </is>
      </c>
      <c r="B53" s="4" t="inlineStr">
        <is>
          <t>xy-tasks-16</t>
        </is>
      </c>
      <c r="C53" s="4" t="inlineStr">
        <is>
          <t>删除动态</t>
        </is>
      </c>
      <c r="D53" s="4" t="inlineStr">
        <is>
          <t>真实命令</t>
        </is>
      </c>
      <c r="E53" s="4" t="inlineStr">
        <is>
          <t>P30</t>
        </is>
      </c>
      <c r="F53" s="22" t="inlineStr">
        <is>
          <t>待验收</t>
        </is>
      </c>
      <c r="G53" s="4" t="inlineStr">
        <is>
          <t>保留原operationId与动作语义</t>
        </is>
      </c>
      <c r="H53" s="4" t="inlineStr">
        <is>
          <t>原00_需求与架构!A112:H112；T094</t>
        </is>
      </c>
    </row>
    <row r="54" ht="90" customHeight="1">
      <c r="A54" s="4" t="inlineStr">
        <is>
          <t>闲鱼31目录</t>
        </is>
      </c>
      <c r="B54" s="4" t="inlineStr">
        <is>
          <t>xy-tasks-17</t>
        </is>
      </c>
      <c r="C54" s="4" t="inlineStr">
        <is>
          <t>删除消息</t>
        </is>
      </c>
      <c r="D54" s="4" t="inlineStr">
        <is>
          <t>删除与点红点分支</t>
        </is>
      </c>
      <c r="E54" s="4" t="inlineStr">
        <is>
          <t>P36</t>
        </is>
      </c>
      <c r="F54" s="22" t="inlineStr">
        <is>
          <t>待验收</t>
        </is>
      </c>
      <c r="G54" s="4" t="inlineStr">
        <is>
          <t>保留原operationId与动作语义</t>
        </is>
      </c>
      <c r="H54" s="4" t="inlineStr">
        <is>
          <t>原00_需求与架构!A113:H113；T095</t>
        </is>
      </c>
    </row>
    <row r="55" ht="90" customHeight="1">
      <c r="A55" s="4" t="inlineStr">
        <is>
          <t>闲鱼31目录</t>
        </is>
      </c>
      <c r="B55" s="4" t="inlineStr">
        <is>
          <t>xy-tasks-18</t>
        </is>
      </c>
      <c r="C55" s="4" t="inlineStr">
        <is>
          <t>删除留言</t>
        </is>
      </c>
      <c r="D55" s="4" t="inlineStr">
        <is>
          <t>真实命令</t>
        </is>
      </c>
      <c r="E55" s="4" t="inlineStr">
        <is>
          <t>P30</t>
        </is>
      </c>
      <c r="F55" s="22" t="inlineStr">
        <is>
          <t>待验收</t>
        </is>
      </c>
      <c r="G55" s="4" t="inlineStr">
        <is>
          <t>保留原operationId与动作语义</t>
        </is>
      </c>
      <c r="H55" s="4" t="inlineStr">
        <is>
          <t>原00_需求与架构!A114:H114；T096</t>
        </is>
      </c>
    </row>
    <row r="56" ht="90" customHeight="1">
      <c r="A56" s="4" t="inlineStr">
        <is>
          <t>闲鱼31目录</t>
        </is>
      </c>
      <c r="B56" s="4" t="inlineStr">
        <is>
          <t>xy-tasks-19</t>
        </is>
      </c>
      <c r="C56" s="4" t="inlineStr">
        <is>
          <t>草稿上架</t>
        </is>
      </c>
      <c r="D56" s="4" t="inlineStr">
        <is>
          <t>提交防重</t>
        </is>
      </c>
      <c r="E56" s="4" t="inlineStr">
        <is>
          <t>P37</t>
        </is>
      </c>
      <c r="F56" s="22" t="inlineStr">
        <is>
          <t>待验收</t>
        </is>
      </c>
      <c r="G56" s="4" t="inlineStr">
        <is>
          <t>保留原operationId与动作语义</t>
        </is>
      </c>
      <c r="H56" s="4" t="inlineStr">
        <is>
          <t>原00_需求与架构!A115:H115；T097</t>
        </is>
      </c>
    </row>
    <row r="57" ht="90" customHeight="1">
      <c r="A57" s="4" t="inlineStr">
        <is>
          <t>闲鱼31目录</t>
        </is>
      </c>
      <c r="B57" s="4" t="inlineStr">
        <is>
          <t>xy-tasks-20</t>
        </is>
      </c>
      <c r="C57" s="4" t="inlineStr">
        <is>
          <t>编辑重发</t>
        </is>
      </c>
      <c r="D57" s="4" t="inlineStr">
        <is>
          <t>修改字段可追溯</t>
        </is>
      </c>
      <c r="E57" s="4" t="inlineStr">
        <is>
          <t>P37</t>
        </is>
      </c>
      <c r="F57" s="22" t="inlineStr">
        <is>
          <t>待验收</t>
        </is>
      </c>
      <c r="G57" s="4" t="inlineStr">
        <is>
          <t>保留原operationId与动作语义</t>
        </is>
      </c>
      <c r="H57" s="4" t="inlineStr">
        <is>
          <t>原00_需求与架构!A116:H116；T098</t>
        </is>
      </c>
    </row>
    <row r="58" ht="90" customHeight="1">
      <c r="A58" s="4" t="inlineStr">
        <is>
          <t>闲鱼31目录</t>
        </is>
      </c>
      <c r="B58" s="4" t="inlineStr">
        <is>
          <t>xy-tasks-21</t>
        </is>
      </c>
      <c r="C58" s="4" t="inlineStr">
        <is>
          <t>托管无忧卖</t>
        </is>
      </c>
      <c r="D58" s="4" t="inlineStr">
        <is>
          <t>资格/条款变化暂停</t>
        </is>
      </c>
      <c r="E58" s="4" t="inlineStr">
        <is>
          <t>P38</t>
        </is>
      </c>
      <c r="F58" s="22" t="inlineStr">
        <is>
          <t>待验收</t>
        </is>
      </c>
      <c r="G58" s="4" t="inlineStr">
        <is>
          <t>保留原operationId与动作语义</t>
        </is>
      </c>
      <c r="H58" s="4" t="inlineStr">
        <is>
          <t>原00_需求与架构!A117:H117；T099</t>
        </is>
      </c>
    </row>
    <row r="59" ht="90" customHeight="1">
      <c r="A59" s="4" t="inlineStr">
        <is>
          <t>闲鱼31目录</t>
        </is>
      </c>
      <c r="B59" s="4" t="inlineStr">
        <is>
          <t>xy-tasks-22</t>
        </is>
      </c>
      <c r="C59" s="4" t="inlineStr">
        <is>
          <t>快速编辑重发</t>
        </is>
      </c>
      <c r="D59" s="4" t="inlineStr">
        <is>
          <t>逐项账本</t>
        </is>
      </c>
      <c r="E59" s="4" t="inlineStr">
        <is>
          <t>P37</t>
        </is>
      </c>
      <c r="F59" s="22" t="inlineStr">
        <is>
          <t>待验收</t>
        </is>
      </c>
      <c r="G59" s="4" t="inlineStr">
        <is>
          <t>保留原operationId与动作语义</t>
        </is>
      </c>
      <c r="H59" s="4" t="inlineStr">
        <is>
          <t>原00_需求与架构!A118:H118；T100</t>
        </is>
      </c>
    </row>
    <row r="60" ht="90" customHeight="1">
      <c r="A60" s="4" t="inlineStr">
        <is>
          <t>闲鱼31目录</t>
        </is>
      </c>
      <c r="B60" s="4" t="inlineStr">
        <is>
          <t>xy-tasks-23</t>
        </is>
      </c>
      <c r="C60" s="4" t="inlineStr">
        <is>
          <t>快速下架商品</t>
        </is>
      </c>
      <c r="D60" s="4" t="inlineStr">
        <is>
          <t>批量结果核验</t>
        </is>
      </c>
      <c r="E60" s="4" t="inlineStr">
        <is>
          <t>P29</t>
        </is>
      </c>
      <c r="F60" s="22" t="inlineStr">
        <is>
          <t>待验收</t>
        </is>
      </c>
      <c r="G60" s="4" t="inlineStr">
        <is>
          <t>保留原operationId与动作语义</t>
        </is>
      </c>
      <c r="H60" s="4" t="inlineStr">
        <is>
          <t>原00_需求与架构!A119:H119；T101</t>
        </is>
      </c>
    </row>
    <row r="61" ht="90" customHeight="1">
      <c r="A61" s="4" t="inlineStr">
        <is>
          <t>闲鱼31目录</t>
        </is>
      </c>
      <c r="B61" s="4" t="inlineStr">
        <is>
          <t>xy-tasks-24</t>
        </is>
      </c>
      <c r="C61" s="4" t="inlineStr">
        <is>
          <t>采集宝贝信息</t>
        </is>
      </c>
      <c r="D61" s="4" t="inlineStr">
        <is>
          <t>共享统计服务</t>
        </is>
      </c>
      <c r="E61" s="4" t="inlineStr">
        <is>
          <t>P43</t>
        </is>
      </c>
      <c r="F61" s="22" t="inlineStr">
        <is>
          <t>待验收</t>
        </is>
      </c>
      <c r="G61" s="4" t="inlineStr">
        <is>
          <t>保留原operationId与动作语义</t>
        </is>
      </c>
      <c r="H61" s="4" t="inlineStr">
        <is>
          <t>原00_需求与架构!A120:H120；T112</t>
        </is>
      </c>
    </row>
    <row r="62" ht="90" customHeight="1">
      <c r="A62" s="4" t="inlineStr">
        <is>
          <t>闲鱼31目录</t>
        </is>
      </c>
      <c r="B62" s="4" t="inlineStr">
        <is>
          <t>xy-tasks-25</t>
        </is>
      </c>
      <c r="C62" s="4" t="inlineStr">
        <is>
          <t>通用地址池</t>
        </is>
      </c>
      <c r="D62" s="4" t="inlineStr">
        <is>
          <t>共享资源池</t>
        </is>
      </c>
      <c r="E62" s="4" t="inlineStr">
        <is>
          <t>P20</t>
        </is>
      </c>
      <c r="F62" s="22" t="inlineStr">
        <is>
          <t>待验收</t>
        </is>
      </c>
      <c r="G62" s="4" t="inlineStr">
        <is>
          <t>共享页面/帮助，不新增mobile task</t>
        </is>
      </c>
      <c r="H62" s="4" t="inlineStr">
        <is>
          <t>原00_需求与架构!A121:H121；T055</t>
        </is>
      </c>
    </row>
    <row r="63" ht="90" customHeight="1">
      <c r="A63" s="4" t="inlineStr">
        <is>
          <t>闲鱼31目录</t>
        </is>
      </c>
      <c r="B63" s="4" t="inlineStr">
        <is>
          <t>xy-tasks-26</t>
        </is>
      </c>
      <c r="C63" s="4" t="inlineStr">
        <is>
          <t>设备地址池</t>
        </is>
      </c>
      <c r="D63" s="4" t="inlineStr">
        <is>
          <t>共享绑定与选择</t>
        </is>
      </c>
      <c r="E63" s="4" t="inlineStr">
        <is>
          <t>P20</t>
        </is>
      </c>
      <c r="F63" s="22" t="inlineStr">
        <is>
          <t>待验收</t>
        </is>
      </c>
      <c r="G63" s="4" t="inlineStr">
        <is>
          <t>共享页面/帮助，不新增mobile task</t>
        </is>
      </c>
      <c r="H63" s="4" t="inlineStr">
        <is>
          <t>原00_需求与架构!A122:H122；T055</t>
        </is>
      </c>
    </row>
    <row r="64" ht="90" customHeight="1">
      <c r="A64" s="4" t="inlineStr">
        <is>
          <t>闲鱼31目录</t>
        </is>
      </c>
      <c r="B64" s="4" t="inlineStr">
        <is>
          <t>xy-tasks-27</t>
        </is>
      </c>
      <c r="C64" s="4" t="inlineStr">
        <is>
          <t>描述池</t>
        </is>
      </c>
      <c r="D64" s="4" t="inlineStr">
        <is>
          <t>共享资源池</t>
        </is>
      </c>
      <c r="E64" s="4" t="inlineStr">
        <is>
          <t>P20</t>
        </is>
      </c>
      <c r="F64" s="22" t="inlineStr">
        <is>
          <t>待验收</t>
        </is>
      </c>
      <c r="G64" s="4" t="inlineStr">
        <is>
          <t>共享页面/帮助，不新增mobile task</t>
        </is>
      </c>
      <c r="H64" s="4" t="inlineStr">
        <is>
          <t>原00_需求与架构!A123:H123；T056</t>
        </is>
      </c>
    </row>
    <row r="65" ht="90" customHeight="1">
      <c r="A65" s="4" t="inlineStr">
        <is>
          <t>闲鱼31目录</t>
        </is>
      </c>
      <c r="B65" s="4" t="inlineStr">
        <is>
          <t>xy-tasks-28</t>
        </is>
      </c>
      <c r="C65" s="4" t="inlineStr">
        <is>
          <t>标签池</t>
        </is>
      </c>
      <c r="D65" s="4" t="inlineStr">
        <is>
          <t>共享资源池</t>
        </is>
      </c>
      <c r="E65" s="4" t="inlineStr">
        <is>
          <t>P20</t>
        </is>
      </c>
      <c r="F65" s="22" t="inlineStr">
        <is>
          <t>待验收</t>
        </is>
      </c>
      <c r="G65" s="4" t="inlineStr">
        <is>
          <t>共享页面/帮助，不新增mobile task</t>
        </is>
      </c>
      <c r="H65" s="4" t="inlineStr">
        <is>
          <t>原00_需求与架构!A124:H124；T057</t>
        </is>
      </c>
    </row>
    <row r="66" ht="90" customHeight="1">
      <c r="A66" s="4" t="inlineStr">
        <is>
          <t>闲鱼31目录</t>
        </is>
      </c>
      <c r="B66" s="4" t="inlineStr">
        <is>
          <t>xy-tasks-29</t>
        </is>
      </c>
      <c r="C66" s="4" t="inlineStr">
        <is>
          <t>图片水印</t>
        </is>
      </c>
      <c r="D66" s="4" t="inlineStr">
        <is>
          <t>共享派生素材</t>
        </is>
      </c>
      <c r="E66" s="4" t="inlineStr">
        <is>
          <t>P19</t>
        </is>
      </c>
      <c r="F66" s="22" t="inlineStr">
        <is>
          <t>待验收</t>
        </is>
      </c>
      <c r="G66" s="4" t="inlineStr">
        <is>
          <t>共享页面/帮助，不新增mobile task</t>
        </is>
      </c>
      <c r="H66" s="4" t="inlineStr">
        <is>
          <t>原00_需求与架构!A125:H125；T053</t>
        </is>
      </c>
    </row>
    <row r="67" ht="90" customHeight="1">
      <c r="A67" s="4" t="inlineStr">
        <is>
          <t>闲鱼31目录</t>
        </is>
      </c>
      <c r="B67" s="4" t="inlineStr">
        <is>
          <t>xy-tasks-30</t>
        </is>
      </c>
      <c r="C67" s="4" t="inlineStr">
        <is>
          <t>违禁词检测</t>
        </is>
      </c>
      <c r="D67" s="4" t="inlineStr">
        <is>
          <t>后端规则服务</t>
        </is>
      </c>
      <c r="E67" s="4" t="inlineStr">
        <is>
          <t>P40</t>
        </is>
      </c>
      <c r="F67" s="22" t="inlineStr">
        <is>
          <t>待验收</t>
        </is>
      </c>
      <c r="G67" s="4" t="inlineStr">
        <is>
          <t>共享页面/帮助，不新增mobile task</t>
        </is>
      </c>
      <c r="H67" s="4" t="inlineStr">
        <is>
          <t>原00_需求与架构!A126:H126；T103</t>
        </is>
      </c>
    </row>
    <row r="68" ht="90" customHeight="1">
      <c r="A68" s="4" t="inlineStr">
        <is>
          <t>闲鱼31目录</t>
        </is>
      </c>
      <c r="B68" s="4" t="inlineStr">
        <is>
          <t>xy-tasks-31</t>
        </is>
      </c>
      <c r="C68" s="4" t="inlineStr">
        <is>
          <t>视频操作教程</t>
        </is>
      </c>
      <c r="D68" s="4" t="inlineStr">
        <is>
          <t>静态帮助内容/版本对应</t>
        </is>
      </c>
      <c r="E68" s="4" t="inlineStr">
        <is>
          <t>P49</t>
        </is>
      </c>
      <c r="F68" s="22" t="inlineStr">
        <is>
          <t>待验收</t>
        </is>
      </c>
      <c r="G68" s="4" t="inlineStr">
        <is>
          <t>共享页面/帮助，不新增mobile task</t>
        </is>
      </c>
      <c r="H68" s="4" t="inlineStr">
        <is>
          <t>原00_需求与架构!A127:H127；T104</t>
        </is>
      </c>
    </row>
  </sheetData>
  <mergeCells count="2">
    <mergeCell ref="A1:H1"/>
    <mergeCell ref="A2:H3"/>
  </mergeCells>
  <dataValidations count="1">
    <dataValidation sqref="F6:F68" showDropDown="0" showInputMessage="0" showErrorMessage="0" allowBlank="0" type="list">
      <formula1>"待验收,通过,阻塞,用户明确变更"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115" customWidth="1" min="3" max="3"/>
  </cols>
  <sheetData>
    <row r="1" ht="30" customHeight="1">
      <c r="A1" s="87" t="inlineStr">
        <is>
          <t>06 / 智能体执行实测与成本</t>
        </is>
      </c>
      <c r="B1" s="1" t="n"/>
      <c r="C1" s="1" t="n"/>
    </row>
    <row r="2" ht="35" customHeight="1">
      <c r="A2" s="88" t="inlineStr">
        <is>
          <t>无执行日志时保持待采样；不能把人日换成AI小时。费用仅记录可核对的人民币账单/分摊值，未知留空；日志最多预置2000轮，超出须扩展公式范围。</t>
        </is>
      </c>
      <c r="B2" s="1" t="n"/>
      <c r="C2" s="1" t="n"/>
    </row>
    <row r="3" ht="22" customHeight="1">
      <c r="A3" s="1" t="n"/>
      <c r="B3" s="1" t="n"/>
      <c r="C3" s="1" t="n"/>
    </row>
    <row r="4">
      <c r="A4" s="89" t="n"/>
      <c r="B4" s="89" t="n"/>
      <c r="C4" s="89" t="n"/>
    </row>
    <row r="5" ht="34" customHeight="1">
      <c r="A5" s="90" t="inlineStr">
        <is>
          <t>指标</t>
        </is>
      </c>
      <c r="B5" s="90" t="inlineStr">
        <is>
          <t>值</t>
        </is>
      </c>
      <c r="C5" s="90" t="inlineStr">
        <is>
          <t>解释</t>
        </is>
      </c>
    </row>
    <row r="6" ht="55" customHeight="1">
      <c r="A6" s="91" t="inlineStr">
        <is>
          <t>记录轮数</t>
        </is>
      </c>
      <c r="B6" s="91">
        <f>COUNTIF('09_执行记录'!A6:A2022,"&lt;&gt;")</f>
        <v/>
      </c>
      <c r="C6" s="91" t="inlineStr">
        <is>
          <t>一轮＝一次当前检查点的实际执行/规划/审阅会话。每轮唯一ID，不等于工具调用次数。</t>
        </is>
      </c>
    </row>
    <row r="7" ht="55" customHeight="1">
      <c r="A7" s="92" t="inlineStr">
        <is>
          <t>主动耗时已填轮数</t>
        </is>
      </c>
      <c r="B7" s="92">
        <f>COUNTIFS('09_执行记录'!A6:A2022,"&lt;&gt;",'09_执行记录'!H6:H2022,"&lt;&gt;")</f>
        <v/>
      </c>
      <c r="C7" s="92" t="inlineStr">
        <is>
          <t>未知留空，0只用于实际没有主动耗时的轮次。</t>
        </is>
      </c>
    </row>
    <row r="8" ht="55" customHeight="1">
      <c r="A8" s="91" t="inlineStr">
        <is>
          <t>累计主动分钟</t>
        </is>
      </c>
      <c r="B8" s="91">
        <f>IF(B7=0,"待采样",SUM('09_执行记录'!H6:H2022))</f>
        <v/>
      </c>
      <c r="C8" s="91" t="inlineStr">
        <is>
          <t>多个智能体主动时间相加；并行时不等于从开始到结束的自然时长。</t>
        </is>
      </c>
    </row>
    <row r="9" ht="55" customHeight="1">
      <c r="A9" s="92" t="inlineStr">
        <is>
          <t>成本已填轮数</t>
        </is>
      </c>
      <c r="B9" s="92">
        <f>COUNTIFS('09_执行记录'!A6:A2022,"&lt;&gt;",'09_执行记录'!M6:M2022,"&lt;&gt;")</f>
        <v/>
      </c>
      <c r="C9" s="92" t="inlineStr">
        <is>
          <t>包括确认零增量费用的0；网页订阅不自动摊为0成本。</t>
        </is>
      </c>
    </row>
    <row r="10" ht="55" customHeight="1">
      <c r="A10" s="91" t="inlineStr">
        <is>
          <t>已知人民币成本</t>
        </is>
      </c>
      <c r="B10" s="91">
        <f>IF(B9=0,"待采样",SUM('09_执行记录'!M6:M2022))</f>
        <v/>
      </c>
      <c r="C10" s="91" t="inlineStr">
        <is>
          <t>仅已填账单或明确分摊值，缺项时不是完整总成本；不得重复计入缓存Token。</t>
        </is>
      </c>
    </row>
    <row r="11" ht="55" customHeight="1">
      <c r="A11" s="92" t="inlineStr">
        <is>
          <t>成本数据完整度</t>
        </is>
      </c>
      <c r="B11" s="93">
        <f>IF(B6=0,"待采样",B9/B6)</f>
        <v/>
      </c>
      <c r="C11" s="92" t="inlineStr">
        <is>
          <t>实测只覆盖新增日志，不包含此前历史运行。</t>
        </is>
      </c>
    </row>
    <row r="12" ht="55" customHeight="1">
      <c r="A12" s="91" t="inlineStr">
        <is>
          <t>资源等待已填轮数</t>
        </is>
      </c>
      <c r="B12" s="91">
        <f>COUNTIFS('09_执行记录'!A6:A2022,"&lt;&gt;",'09_执行记录'!I6:I2022,"&lt;&gt;")</f>
        <v/>
      </c>
      <c r="C12" s="91" t="inlineStr">
        <is>
          <t>等待与主动时间分开；并行或同一阻塞重复计时须避免。</t>
        </is>
      </c>
    </row>
    <row r="13" ht="55" customHeight="1">
      <c r="A13" s="92" t="inlineStr">
        <is>
          <t>累计已记录等待分钟</t>
        </is>
      </c>
      <c r="B13" s="92">
        <f>IF(B12=0,"待采样",SUM('09_执行记录'!I6:I2022))</f>
        <v/>
      </c>
      <c r="C13" s="92" t="inlineStr">
        <is>
          <t>不直接把累计等待与累计主动耗时相加预测项目日历时间。</t>
        </is>
      </c>
    </row>
    <row r="14" ht="55" customHeight="1">
      <c r="A14" s="91" t="inlineStr">
        <is>
          <t>模块通过包数</t>
        </is>
      </c>
      <c r="B14" s="91">
        <f>COUNTIF('01_闭环计划'!Q6:Q55,"模块通过")</f>
        <v/>
      </c>
      <c r="C14" s="91" t="inlineStr">
        <is>
          <t>模块契约与自测通过，不等于真机场景或一期全部验收。</t>
        </is>
      </c>
    </row>
    <row r="15" ht="55" customHeight="1">
      <c r="A15" s="92" t="inlineStr">
        <is>
          <t>功能验收通过包数</t>
        </is>
      </c>
      <c r="B15" s="92">
        <f>COUNTIF('01_闭环计划'!D6:D55,"验收通过")</f>
        <v/>
      </c>
      <c r="C15" s="92" t="inlineStr">
        <is>
          <t>D列「验收通过」才计入。2026-09-08 未把任何新包D改为验收通过；Q列「模块通过」见B14。</t>
        </is>
      </c>
    </row>
    <row r="16" ht="55" customHeight="1">
      <c r="A16" s="91" t="inlineStr">
        <is>
          <t>升级诊断轮数</t>
        </is>
      </c>
      <c r="B16" s="91">
        <f>COUNTIFS('09_执行记录'!A6:A2022,"&lt;&gt;",'09_执行记录'!N6:N2022,"升级诊断")</f>
        <v/>
      </c>
      <c r="C16" s="91" t="inlineStr">
        <is>
          <t>升级是停止盲修，不是自动付费或自动批准新资源。</t>
        </is>
      </c>
    </row>
    <row r="17" ht="55" customHeight="1">
      <c r="A17" s="92" t="inlineStr">
        <is>
          <t>总工期预测</t>
        </is>
      </c>
      <c r="B17" s="92" t="inlineStr">
        <is>
          <t>不生成</t>
        </is>
      </c>
      <c r="C17" s="92" t="inlineStr">
        <is>
          <t>先采集P08/P09及其他不同复杂度任务；仅对相似任务给实测区间，不外推成全项目交付承诺。</t>
        </is>
      </c>
    </row>
    <row r="18" ht="55" customHeight="1">
      <c r="A18" s="91" t="inlineStr">
        <is>
          <t>模型选择比较</t>
        </is>
      </c>
      <c r="B18" s="91" t="inlineStr">
        <is>
          <t>按已通过交付比较</t>
        </is>
      </c>
      <c r="C18" s="91" t="inlineStr">
        <is>
          <t>同一标准下比较总成本、耗时、失败修复轮数；便宜单次价格不能代替总交付成本。</t>
        </is>
      </c>
    </row>
    <row r="19" ht="55" customHeight="1">
      <c r="A19" s="92" t="inlineStr">
        <is>
          <t>原估算处理</t>
        </is>
      </c>
      <c r="B19" s="92" t="inlineStr">
        <is>
          <t>已移除</t>
        </is>
      </c>
      <c r="C19" s="92" t="inlineStr">
        <is>
          <t>原38–76人日、人数效率与日历换算不再参与任何活动公式；原文件保留追溯。</t>
        </is>
      </c>
    </row>
    <row r="20" ht="55" customHeight="1">
      <c r="A20" s="91" t="inlineStr">
        <is>
          <t>Token统计</t>
        </is>
      </c>
      <c r="B20" s="91" t="inlineStr">
        <is>
          <t>原始账单字段</t>
        </is>
      </c>
      <c r="C20" s="91" t="inlineStr">
        <is>
          <t>输入/输出Token未知留空；不同提供方缓存口径可能重叠，所以不另造缓存加总公式。</t>
        </is>
      </c>
    </row>
  </sheetData>
  <autoFilter ref="A5:C20"/>
  <mergeCells count="2">
    <mergeCell ref="A1:C1"/>
    <mergeCell ref="A2:C3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1" customWidth="1" min="4" max="4"/>
    <col width="38" customWidth="1" min="5" max="5"/>
    <col width="44" customWidth="1" min="6" max="6"/>
    <col width="39" customWidth="1" min="7" max="7"/>
    <col width="44" customWidth="1" min="8" max="8"/>
    <col width="39" customWidth="1" min="9" max="9"/>
    <col width="34" customWidth="1" min="10" max="10"/>
    <col width="32" customWidth="1" min="11" max="11"/>
    <col width="54" customWidth="1" min="12" max="12"/>
  </cols>
  <sheetData>
    <row r="1" ht="38" customHeight="1">
      <c r="A1" s="11" t="inlineStr">
        <is>
          <t>07 / 原审阅结论保留索引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4" customHeight="1">
      <c r="A2" s="15" t="inlineStr">
        <is>
          <t>63条原审阅记录不改写为63个已复现Bug。静态确认、需求差距、待复现风险、待验证约束、旧稿纠正保留原类别；26条原标代码已修/待联调也不是26项已验收。源码URL仅继承，未重新联网核验。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4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34" customHeight="1">
      <c r="A5" s="17" t="inlineStr">
        <is>
          <t>原B</t>
        </is>
      </c>
      <c r="B5" s="17" t="inlineStr">
        <is>
          <t>级别</t>
        </is>
      </c>
      <c r="C5" s="17" t="inlineStr">
        <is>
          <t>原结论类型</t>
        </is>
      </c>
      <c r="D5" s="17" t="inlineStr">
        <is>
          <t>原状态</t>
        </is>
      </c>
      <c r="E5" s="17" t="inlineStr">
        <is>
          <t>模块 / 问题缺口</t>
        </is>
      </c>
      <c r="F5" s="17" t="inlineStr">
        <is>
          <t>原源码证据</t>
        </is>
      </c>
      <c r="G5" s="17" t="inlineStr">
        <is>
          <t>原核查方法</t>
        </is>
      </c>
      <c r="H5" s="17" t="inlineStr">
        <is>
          <t>原修复指导</t>
        </is>
      </c>
      <c r="I5" s="17" t="inlineStr">
        <is>
          <t>原验收</t>
        </is>
      </c>
      <c r="J5" s="17" t="inlineStr">
        <is>
          <t>旧T → 新包</t>
        </is>
      </c>
      <c r="K5" s="17" t="inlineStr">
        <is>
          <t>原负责人 / 提交证据</t>
        </is>
      </c>
      <c r="L5" s="17" t="inlineStr">
        <is>
          <t>原位置 / 来源URL</t>
        </is>
      </c>
    </row>
    <row r="6" ht="150" customHeight="1">
      <c r="A6" s="4" t="inlineStr">
        <is>
          <t>B001</t>
        </is>
      </c>
      <c r="B6" s="4" t="inlineStr">
        <is>
          <t>P0</t>
        </is>
      </c>
      <c r="C6" s="4" t="inlineStr">
        <is>
          <t>静态确认</t>
        </is>
      </c>
      <c r="D6" s="4" t="inlineStr">
        <is>
          <t>代码已修/待联调</t>
        </is>
      </c>
      <c r="E6" s="4" t="inlineStr">
        <is>
          <t>商品/数据库｜商品分组写错外键对象</t>
        </is>
      </c>
      <c r="F6" s="4" t="inlineStr">
        <is>
          <t>services.py batch_update_product_group/import_products 写 content_id=product_id；db.py 的content_id外键指向content_item。</t>
        </is>
      </c>
      <c r="G6" s="4" t="inlineStr">
        <is>
          <t>在开启FK的数据库建1商品+1内容组；执行批量分组；检查FK异常或错误关联。</t>
        </is>
      </c>
      <c r="H6" s="4" t="inlineStr">
        <is>
          <t>新增ProductGroup/ProductGroupMembership，FK指向product；迁移旧groupName与可识别脏数据；禁止复用帖子membership。</t>
        </is>
      </c>
      <c r="I6" s="4" t="inlineStr">
        <is>
          <t>Postgres/SQLite FK开启均成功；分组删改不影响帖子；无孤儿行。</t>
        </is>
      </c>
      <c r="J6" s="4" t="inlineStr">
        <is>
          <t>T058→P21；T060→P21</t>
        </is>
      </c>
      <c r="K6" s="4" t="inlineStr">
        <is>
          <t>负责人：ZCode
证据：未提供</t>
        </is>
      </c>
      <c r="L6" s="4" t="inlineStr">
        <is>
          <t>原01_代码审阅!A6:N6
https://github.com/candywang98/lamda-yun/blob/b394475c56a07b0ea660531222d182646e1c7e66/services/control-api/src/cloudctl_api/services.py
https://github.com/candywang98/lamda-yun/blob/b394475c56a07b0ea660531222d182646e1c7e66/services/control-api/src/cloudctl_api/db.py</t>
        </is>
      </c>
    </row>
    <row r="7" ht="150" customHeight="1">
      <c r="A7" s="4" t="inlineStr">
        <is>
          <t>B002</t>
        </is>
      </c>
      <c r="B7" s="4" t="inlineStr">
        <is>
          <t>P1</t>
        </is>
      </c>
      <c r="C7" s="4" t="inlineStr">
        <is>
          <t>静态确认</t>
        </is>
      </c>
      <c r="D7" s="4" t="inlineStr">
        <is>
          <t>未处理</t>
        </is>
      </c>
      <c r="E7" s="4" t="inlineStr">
        <is>
          <t>商品/价格｜字符串价格用于数值范围筛选</t>
        </is>
      </c>
      <c r="F7" s="4" t="inlineStr">
        <is>
          <t>ProductRow.price=String；filter_products直接price &gt;= min_price / &lt;= max_price。</t>
        </is>
      </c>
      <c r="G7" s="4" t="inlineStr">
        <is>
          <t>录入9.9/20/100/1000；查询20至100区间；核对结果。</t>
        </is>
      </c>
      <c r="H7" s="4" t="inlineStr">
        <is>
          <t>迁移price_cents BIGINT；Decimal转换，保留API兼容输出；范围过滤使用数值且None判断。</t>
        </is>
      </c>
      <c r="I7" s="4" t="inlineStr">
        <is>
          <t>20至100只返回20和100；0/小数/非法数值边界覆盖。</t>
        </is>
      </c>
      <c r="J7" s="4" t="inlineStr">
        <is>
          <t>T058→P21；T059→P21</t>
        </is>
      </c>
      <c r="K7" s="4" t="inlineStr">
        <is>
          <t>负责人：未填
证据：未提供</t>
        </is>
      </c>
      <c r="L7" s="4" t="inlineStr">
        <is>
          <t>原01_代码审阅!A7:N7
https://github.com/candywang98/lamda-yun/blob/b394475c56a07b0ea660531222d182646e1c7e66/services/control-api/src/cloudctl_api/db.py
https://github.com/candywang98/lamda-yun/blob/b394475c56a07b0ea660531222d182646e1c7e66/services/control-api/src/cloudctl_api/services.py</t>
        </is>
      </c>
    </row>
    <row r="8" ht="150" customHeight="1">
      <c r="A8" s="4" t="inlineStr">
        <is>
          <t>B003</t>
        </is>
      </c>
      <c r="B8" s="4" t="inlineStr">
        <is>
          <t>P1</t>
        </is>
      </c>
      <c r="C8" s="4" t="inlineStr">
        <is>
          <t>静态确认</t>
        </is>
      </c>
      <c r="D8" s="4" t="inlineStr">
        <is>
          <t>未处理</t>
        </is>
      </c>
      <c r="E8" s="4" t="inlineStr">
        <is>
          <t>商品/删除｜批量删除绕过单项引用保护</t>
        </is>
      </c>
      <c r="F8" s="4" t="inlineStr">
        <is>
          <t>archive_product检查活跃PublishPlan；batch_delete_products直接ARCHIVED。</t>
        </is>
      </c>
      <c r="G8" s="4" t="inlineStr">
        <is>
          <t>建引用商品的活动发布计划；分别单删和批删，比较行为。</t>
        </is>
      </c>
      <c r="H8" s="4" t="inlineStr">
        <is>
          <t>抽取统一归档保护并锁行；批量预检后同事务执行；返回blockedIds。</t>
        </is>
      </c>
      <c r="I8" s="4" t="inlineStr">
        <is>
          <t>单删批删同规则；任何被引用项导致整批不改；重复归档有明确幂等语义。</t>
        </is>
      </c>
      <c r="J8" s="4" t="inlineStr">
        <is>
          <t>T059→P21</t>
        </is>
      </c>
      <c r="K8" s="4" t="inlineStr">
        <is>
          <t>负责人：未填
证据：未提供</t>
        </is>
      </c>
      <c r="L8" s="4" t="inlineStr">
        <is>
          <t>原01_代码审阅!A8:N8
https://github.com/candywang98/lamda-yun/blob/b394475c56a07b0ea660531222d182646e1c7e66/services/control-api/src/cloudctl_api/services.py</t>
        </is>
      </c>
    </row>
    <row r="9" ht="150" customHeight="1">
      <c r="A9" s="4" t="inlineStr">
        <is>
          <t>B004</t>
        </is>
      </c>
      <c r="B9" s="4" t="inlineStr">
        <is>
          <t>P1</t>
        </is>
      </c>
      <c r="C9" s="4" t="inlineStr">
        <is>
          <t>静态确认</t>
        </is>
      </c>
      <c r="D9" s="4" t="inlineStr">
        <is>
          <t>代码已修/待联调</t>
        </is>
      </c>
      <c r="E9" s="4" t="inlineStr">
        <is>
          <t>Web数据｜404/501自动转localStorage造成真假数据分裂</t>
        </is>
      </c>
      <c r="F9" s="4" t="inlineStr">
        <is>
          <t>product-catalog/post-catalog的isMissingApi触发usingLocal并保存本地。</t>
        </is>
      </c>
      <c r="G9" s="4" t="inlineStr">
        <is>
          <t>API模式把保存接口改成404；保存后直接查询数据库。</t>
        </is>
      </c>
      <c r="H9" s="4" t="inlineStr">
        <is>
          <t>生产环境失败即报错；仅显式dev mock允许本地；删除会话内隐式降级。</t>
        </is>
      </c>
      <c r="I9" s="4" t="inlineStr">
        <is>
          <t>生产404不显示成功、不写业务localStorage；切换浏览器数据一致。</t>
        </is>
      </c>
      <c r="J9" s="4" t="inlineStr">
        <is>
          <t>T005→P02</t>
        </is>
      </c>
      <c r="K9" s="4" t="inlineStr">
        <is>
          <t>负责人：ZCode
证据：未提供</t>
        </is>
      </c>
      <c r="L9" s="4" t="inlineStr">
        <is>
          <t>原01_代码审阅!A9:N9
https://github.com/candywang98/lamda-yun/blob/b394475c56a07b0ea660531222d182646e1c7e66/apps/web/src/api/product-catalog.ts
https://github.com/candywang98/lamda-yun/blob/b394475c56a07b0ea660531222d182646e1c7e66/apps/web/src/api/post-catalog.ts</t>
        </is>
      </c>
    </row>
    <row r="10" ht="150" customHeight="1">
      <c r="A10" s="4" t="inlineStr">
        <is>
          <t>B005</t>
        </is>
      </c>
      <c r="B10" s="4" t="inlineStr">
        <is>
          <t>P1</t>
        </is>
      </c>
      <c r="C10" s="4" t="inlineStr">
        <is>
          <t>静态确认</t>
        </is>
      </c>
      <c r="D10" s="4" t="inlineStr">
        <is>
          <t>代码已修/待联调</t>
        </is>
      </c>
      <c r="E10" s="4" t="inlineStr">
        <is>
          <t>商品/批删｜批删失败回退条件反向且可能部分删除</t>
        </is>
      </c>
      <c r="F10" s="4" t="inlineStr">
        <is>
          <t>product-catalog.archive 在非404/501错误时逐个archive；404/501却转本地。</t>
        </is>
      </c>
      <c r="G10" s="4" t="inlineStr">
        <is>
          <t>批删返回409或500；观察是否仍发N个单删请求。</t>
        </is>
      </c>
      <c r="H10" s="4" t="inlineStr">
        <is>
          <t>禁止在权限/冲突/500后继续副作用请求；只对显式协商的接口兼容版本选路径。</t>
        </is>
      </c>
      <c r="I10" s="4" t="inlineStr">
        <is>
          <t>409/500后0个单删；批量失败无部分成功假象。</t>
        </is>
      </c>
      <c r="J10" s="4" t="inlineStr">
        <is>
          <t>T062→P21</t>
        </is>
      </c>
      <c r="K10" s="4" t="inlineStr">
        <is>
          <t>负责人：ZCode
证据：未提供</t>
        </is>
      </c>
      <c r="L10" s="4" t="inlineStr">
        <is>
          <t>原01_代码审阅!A10:N10
https://github.com/candywang98/lamda-yun/blob/b394475c56a07b0ea660531222d182646e1c7e66/apps/web/src/api/product-catalog.ts</t>
        </is>
      </c>
    </row>
    <row r="11" ht="150" customHeight="1">
      <c r="A11" s="4" t="inlineStr">
        <is>
          <t>B006</t>
        </is>
      </c>
      <c r="B11" s="4" t="inlineStr">
        <is>
          <t>P1</t>
        </is>
      </c>
      <c r="C11" s="4" t="inlineStr">
        <is>
          <t>静态确认</t>
        </is>
      </c>
      <c r="D11" s="4" t="inlineStr">
        <is>
          <t>代码已修/待联调</t>
        </is>
      </c>
      <c r="E11" s="4" t="inlineStr">
        <is>
          <t>商品/复制｜复制商品丢失媒体资产关联</t>
        </is>
      </c>
      <c r="F11" s="4" t="inlineStr">
        <is>
          <t>product-catalog.duplicate固定mediaAssetIds:[]。</t>
        </is>
      </c>
      <c r="G11" s="4" t="inlineStr">
        <is>
          <t>复制有两图商品；比较新商品mediaAssetIds。</t>
        </is>
      </c>
      <c r="H11" s="4" t="inlineStr">
        <is>
          <t>复用已完成资产ID和顺序，不复制blob；明确封面与引用计数。</t>
        </is>
      </c>
      <c r="I11" s="4" t="inlineStr">
        <is>
          <t>复制后原件/副本都可预览发布，删除一方不误删共享媒体。</t>
        </is>
      </c>
      <c r="J11" s="4" t="inlineStr">
        <is>
          <t>T062→P21</t>
        </is>
      </c>
      <c r="K11" s="4" t="inlineStr">
        <is>
          <t>负责人：ZCode
证据：未提供</t>
        </is>
      </c>
      <c r="L11" s="4" t="inlineStr">
        <is>
          <t>原01_代码审阅!A11:N11
https://github.com/candywang98/lamda-yun/blob/b394475c56a07b0ea660531222d182646e1c7e66/apps/web/src/api/product-catalog.ts</t>
        </is>
      </c>
    </row>
    <row r="12" ht="150" customHeight="1">
      <c r="A12" s="4" t="inlineStr">
        <is>
          <t>B007</t>
        </is>
      </c>
      <c r="B12" s="4" t="inlineStr">
        <is>
          <t>P1</t>
        </is>
      </c>
      <c r="C12" s="4" t="inlineStr">
        <is>
          <t>静态确认</t>
        </is>
      </c>
      <c r="D12" s="4" t="inlineStr">
        <is>
          <t>代码已修/待联调</t>
        </is>
      </c>
      <c r="E12" s="4" t="inlineStr">
        <is>
          <t>商品/媒体｜新媒体没有进入MediaAsset链路</t>
        </is>
      </c>
      <c r="F12" s="4" t="inlineStr">
        <is>
          <t>ProductEditView 新图进attributes.images，视频为blob URL；save保留旧mediaAssetIds。</t>
        </is>
      </c>
      <c r="G12" s="4" t="inlineStr">
        <is>
          <t>上传新图片/视频保存后刷新，检查服务端媒体关联与手机manifest。</t>
        </is>
      </c>
      <c r="H12" s="4" t="inlineStr">
        <is>
          <t>统一上传create/upload/complete；存assetId；草稿预览URL与业务引用分离。</t>
        </is>
      </c>
      <c r="I12" s="4" t="inlineStr">
        <is>
          <t>刷新与换电脑可见，APK下载hash一致，payload无data/blob URL。</t>
        </is>
      </c>
      <c r="J12" s="4" t="inlineStr">
        <is>
          <t>T044→P16；T061→P21</t>
        </is>
      </c>
      <c r="K12" s="4" t="inlineStr">
        <is>
          <t>负责人：ZCode
证据：未提供</t>
        </is>
      </c>
      <c r="L12" s="4" t="inlineStr">
        <is>
          <t>原01_代码审阅!A12:N12
https://github.com/candywang98/lamda-yun/blob/b394475c56a07b0ea660531222d182646e1c7e66/apps/web/src/views/ProductEditView.vue</t>
        </is>
      </c>
    </row>
    <row r="13" ht="150" customHeight="1">
      <c r="A13" s="4" t="inlineStr">
        <is>
          <t>B008</t>
        </is>
      </c>
      <c r="B13" s="4" t="inlineStr">
        <is>
          <t>P1</t>
        </is>
      </c>
      <c r="C13" s="4" t="inlineStr">
        <is>
          <t>静态确认</t>
        </is>
      </c>
      <c r="D13" s="4" t="inlineStr">
        <is>
          <t>未处理</t>
        </is>
      </c>
      <c r="E13" s="4" t="inlineStr">
        <is>
          <t>商品/字段｜分组名和商品类别混用</t>
        </is>
      </c>
      <c r="F13" s="4" t="inlineStr">
        <is>
          <t>ProductEditView.applyProduct用category补groupName；save用groupName写category。</t>
        </is>
      </c>
      <c r="G13" s="4" t="inlineStr">
        <is>
          <t>改分组保存；检查category是否被覆盖。</t>
        </is>
      </c>
      <c r="H13" s="4" t="inlineStr">
        <is>
          <t>独立category与groupId；迁移需报告不确定记录，不能盲目改全部category。</t>
        </is>
      </c>
      <c r="I13" s="4" t="inlineStr">
        <is>
          <t>分组重命名不改变类别；筛选类别和分组相互独立。</t>
        </is>
      </c>
      <c r="J13" s="4" t="inlineStr">
        <is>
          <t>T058→P21；T061→P21</t>
        </is>
      </c>
      <c r="K13" s="4" t="inlineStr">
        <is>
          <t>负责人：未填
证据：未提供</t>
        </is>
      </c>
      <c r="L13" s="4" t="inlineStr">
        <is>
          <t>原01_代码审阅!A13:N13
https://github.com/candywang98/lamda-yun/blob/b394475c56a07b0ea660531222d182646e1c7e66/apps/web/src/views/ProductEditView.vue
https://github.com/candywang98/lamda-yun/blob/b394475c56a07b0ea660531222d182646e1c7e66/apps/web/src/data/product-groups.ts</t>
        </is>
      </c>
    </row>
    <row r="14" ht="150" customHeight="1">
      <c r="A14" s="4" t="inlineStr">
        <is>
          <t>B009</t>
        </is>
      </c>
      <c r="B14" s="4" t="inlineStr">
        <is>
          <t>P1</t>
        </is>
      </c>
      <c r="C14" s="4" t="inlineStr">
        <is>
          <t>待复现风险</t>
        </is>
      </c>
      <c r="D14" s="4" t="inlineStr">
        <is>
          <t>未处理</t>
        </is>
      </c>
      <c r="E14" s="4" t="inlineStr">
        <is>
          <t>商品/路由｜编辑页切到新建可能沿用旧current.id</t>
        </is>
      </c>
      <c r="F14" s="4" t="inlineStr">
        <is>
          <t>loadProduct无id时resetForm未清current；save优先current.value.id。</t>
        </is>
      </c>
      <c r="G14" s="4" t="inlineStr">
        <is>
          <t>同组件路由先?id=A，再去无id新建；保存，检查是否覆盖A。</t>
        </is>
      </c>
      <c r="H14" s="4" t="inlineStr">
        <is>
          <t>新建分支清current/id/SPU；异步加载加request epoch，旧响应不覆盖新路由。</t>
        </is>
      </c>
      <c r="I14" s="4" t="inlineStr">
        <is>
          <t>从编辑转新建创建B，A不变；快速切A/B不串数据。</t>
        </is>
      </c>
      <c r="J14" s="4" t="inlineStr">
        <is>
          <t>T061→P21</t>
        </is>
      </c>
      <c r="K14" s="4" t="inlineStr">
        <is>
          <t>负责人：未填
证据：未提供</t>
        </is>
      </c>
      <c r="L14" s="4" t="inlineStr">
        <is>
          <t>原01_代码审阅!A14:N14
https://github.com/candywang98/lamda-yun/blob/b394475c56a07b0ea660531222d182646e1c7e66/apps/web/src/views/ProductEditView.vue</t>
        </is>
      </c>
    </row>
    <row r="15" ht="150" customHeight="1">
      <c r="A15" s="4" t="inlineStr">
        <is>
          <t>B010</t>
        </is>
      </c>
      <c r="B15" s="4" t="inlineStr">
        <is>
          <t>P1</t>
        </is>
      </c>
      <c r="C15" s="4" t="inlineStr">
        <is>
          <t>静态确认</t>
        </is>
      </c>
      <c r="D15" s="4" t="inlineStr">
        <is>
          <t>未处理</t>
        </is>
      </c>
      <c r="E15" s="4" t="inlineStr">
        <is>
          <t>商品/导入｜导入逐行保存，失败会部分写入</t>
        </is>
      </c>
      <c r="F15" s="4" t="inlineStr">
        <is>
          <t>ProductImportView.importRows循环await catalog.save；无批次事务或结果账。</t>
        </is>
      </c>
      <c r="G15" s="4" t="inlineStr">
        <is>
          <t>100行第50行注入错误；重试并观察重复与已写入行。</t>
        </is>
      </c>
      <c r="H15" s="4" t="inlineStr">
        <is>
          <t>改预检+批次提交+幂等导入；每行错误带rowNo；已提交批次重复返回原结果。</t>
        </is>
      </c>
      <c r="I15" s="4" t="inlineStr">
        <is>
          <t>错误行可定位；重试不重复；UI准确展示已写入/失败数量。</t>
        </is>
      </c>
      <c r="J15" s="4" t="inlineStr">
        <is>
          <t>T063→P22；T064→P22；T065→P22</t>
        </is>
      </c>
      <c r="K15" s="4" t="inlineStr">
        <is>
          <t>负责人：未填
证据：未提供</t>
        </is>
      </c>
      <c r="L15" s="4" t="inlineStr">
        <is>
          <t>原01_代码审阅!A15:N15
https://github.com/candywang98/lamda-yun/blob/b394475c56a07b0ea660531222d182646e1c7e66/apps/web/src/views/ProductImportView.vue</t>
        </is>
      </c>
    </row>
    <row r="16" ht="150" customHeight="1">
      <c r="A16" s="4" t="inlineStr">
        <is>
          <t>B011</t>
        </is>
      </c>
      <c r="B16" s="4" t="inlineStr">
        <is>
          <t>P1</t>
        </is>
      </c>
      <c r="C16" s="4" t="inlineStr">
        <is>
          <t>静态确认</t>
        </is>
      </c>
      <c r="D16" s="4" t="inlineStr">
        <is>
          <t>未处理</t>
        </is>
      </c>
      <c r="E16" s="4" t="inlineStr">
        <is>
          <t>商品/分组｜分组CRUD仍是浏览器本地事实</t>
        </is>
      </c>
      <c r="F16" s="4" t="inlineStr">
        <is>
          <t>data/product-groups.ts 使用本地持久化；ProductImportView调用createProductGroup。</t>
        </is>
      </c>
      <c r="G16" s="4" t="inlineStr">
        <is>
          <t>浏览器A建组，浏览器B同账号查询。</t>
        </is>
      </c>
      <c r="H16" s="4" t="inlineStr">
        <is>
          <t>ProductGroup API为唯一真相；一次性导入旧数据，不长期双写。</t>
        </is>
      </c>
      <c r="I16" s="4" t="inlineStr">
        <is>
          <t>跨浏览器一致；API失败不能本地伪成功。</t>
        </is>
      </c>
      <c r="J16" s="4" t="inlineStr">
        <is>
          <t>T060→P21</t>
        </is>
      </c>
      <c r="K16" s="4" t="inlineStr">
        <is>
          <t>负责人：未填
证据：未提供</t>
        </is>
      </c>
      <c r="L16" s="4" t="inlineStr">
        <is>
          <t>原01_代码审阅!A16:N16
https://github.com/candywang98/lamda-yun/blob/b394475c56a07b0ea660531222d182646e1c7e66/apps/web/src/data/product-groups.ts
https://github.com/candywang98/lamda-yun/blob/b394475c56a07b0ea660531222d182646e1c7e66/apps/web/src/views/ProductImportView.vue</t>
        </is>
      </c>
    </row>
    <row r="17" ht="150" customHeight="1">
      <c r="A17" s="4" t="inlineStr">
        <is>
          <t>B012</t>
        </is>
      </c>
      <c r="B17" s="4" t="inlineStr">
        <is>
          <t>P1</t>
        </is>
      </c>
      <c r="C17" s="4" t="inlineStr">
        <is>
          <t>静态确认</t>
        </is>
      </c>
      <c r="D17" s="4" t="inlineStr">
        <is>
          <t>代码已修/待联调</t>
        </is>
      </c>
      <c r="E17" s="4" t="inlineStr">
        <is>
          <t>帖子/删除｜API模式的删除只写localStorage</t>
        </is>
      </c>
      <c r="F17" s="4" t="inlineStr">
        <is>
          <t>post-catalog.remove没有archive请求，只list/filter/saveLocal。</t>
        </is>
      </c>
      <c r="G17" s="4" t="inlineStr">
        <is>
          <t>删除帖子后直接GET内容API并刷新页面。</t>
        </is>
      </c>
      <c r="H17" s="4" t="inlineStr">
        <is>
          <t>复用archive_content API，后端成功再刷新query；批量定义原子性。</t>
        </is>
      </c>
      <c r="I17" s="4" t="inlineStr">
        <is>
          <t>刷新不复活，另一个浏览器看不到已归档项。</t>
        </is>
      </c>
      <c r="J17" s="4" t="inlineStr">
        <is>
          <t>T067→P24；T069→P24</t>
        </is>
      </c>
      <c r="K17" s="4" t="inlineStr">
        <is>
          <t>负责人：ZCode
证据：未提供</t>
        </is>
      </c>
      <c r="L17" s="4" t="inlineStr">
        <is>
          <t>原01_代码审阅!A17:N17
https://github.com/candywang98/lamda-yun/blob/b394475c56a07b0ea660531222d182646e1c7e66/apps/web/src/api/post-catalog.ts
https://github.com/candywang98/lamda-yun/blob/b394475c56a07b0ea660531222d182646e1c7e66/services/control-api/src/cloudctl_api/services.py</t>
        </is>
      </c>
    </row>
    <row r="18" ht="150" customHeight="1">
      <c r="A18" s="4" t="inlineStr">
        <is>
          <t>B013</t>
        </is>
      </c>
      <c r="B18" s="4" t="inlineStr">
        <is>
          <t>P1</t>
        </is>
      </c>
      <c r="C18" s="4" t="inlineStr">
        <is>
          <t>静态确认</t>
        </is>
      </c>
      <c r="D18" s="4" t="inlineStr">
        <is>
          <t>未处理</t>
        </is>
      </c>
      <c r="E18" s="4" t="inlineStr">
        <is>
          <t>帖子/标题｜新增revision未同步列表使用的title</t>
        </is>
      </c>
      <c r="F18" s="4" t="inlineStr">
        <is>
          <t>post-catalog保存已有帖只createRevision(payload)；add_revision未更新ContentItem.title。</t>
        </is>
      </c>
      <c r="G18" s="4" t="inlineStr">
        <is>
          <t>改标题A为B；比较保存后列表、详情和revision。</t>
        </is>
      </c>
      <c r="H18" s="4" t="inlineStr">
        <is>
          <t>标题写入revision并同事务维护列表摘要字段；加expectedRevision。</t>
        </is>
      </c>
      <c r="I18" s="4" t="inlineStr">
        <is>
          <t>三处标题一致；并发编辑后写方获409。</t>
        </is>
      </c>
      <c r="J18" s="4" t="inlineStr">
        <is>
          <t>T067→P24</t>
        </is>
      </c>
      <c r="K18" s="4" t="inlineStr">
        <is>
          <t>负责人：未填
证据：未提供</t>
        </is>
      </c>
      <c r="L18" s="4" t="inlineStr">
        <is>
          <t>原01_代码审阅!A18:N18
https://github.com/candywang98/lamda-yun/blob/b394475c56a07b0ea660531222d182646e1c7e66/apps/web/src/api/post-catalog.ts
https://github.com/candywang98/lamda-yun/blob/b394475c56a07b0ea660531222d182646e1c7e66/services/control-api/src/cloudctl_api/services.py</t>
        </is>
      </c>
    </row>
    <row r="19" ht="150" customHeight="1">
      <c r="A19" s="4" t="inlineStr">
        <is>
          <t>B014</t>
        </is>
      </c>
      <c r="B19" s="4" t="inlineStr">
        <is>
          <t>P2</t>
        </is>
      </c>
      <c r="C19" s="4" t="inlineStr">
        <is>
          <t>静态确认</t>
        </is>
      </c>
      <c r="D19" s="4" t="inlineStr">
        <is>
          <t>未处理</t>
        </is>
      </c>
      <c r="E19" s="4" t="inlineStr">
        <is>
          <t>帖子/性能｜帖子列表额外N次HTTP请求</t>
        </is>
      </c>
      <c r="F19" s="4" t="inlineStr">
        <is>
          <t>post-catalog.list先contents再Promise.all每项content。</t>
        </is>
      </c>
      <c r="G19" s="4" t="inlineStr">
        <is>
          <t>100帖子加载抓网络请求数。</t>
        </is>
      </c>
      <c r="H19" s="4" t="inlineStr">
        <is>
          <t>分页API直接给最新revision摘要、封面与分组；删除逐条GET。</t>
        </is>
      </c>
      <c r="I19" s="4" t="inlineStr">
        <is>
          <t>单页HTTP请求常数级，分页边界正确。</t>
        </is>
      </c>
      <c r="J19" s="4" t="inlineStr">
        <is>
          <t>T067→P24；T069→P24</t>
        </is>
      </c>
      <c r="K19" s="4" t="inlineStr">
        <is>
          <t>负责人：未填
证据：未提供</t>
        </is>
      </c>
      <c r="L19" s="4" t="inlineStr">
        <is>
          <t>原01_代码审阅!A19:N19
https://github.com/candywang98/lamda-yun/blob/b394475c56a07b0ea660531222d182646e1c7e66/apps/web/src/api/post-catalog.ts</t>
        </is>
      </c>
    </row>
    <row r="20" ht="150" customHeight="1">
      <c r="A20" s="4" t="inlineStr">
        <is>
          <t>B015</t>
        </is>
      </c>
      <c r="B20" s="4" t="inlineStr">
        <is>
          <t>P1</t>
        </is>
      </c>
      <c r="C20" s="4" t="inlineStr">
        <is>
          <t>静态确认</t>
        </is>
      </c>
      <c r="D20" s="4" t="inlineStr">
        <is>
          <t>代码已修/待联调</t>
        </is>
      </c>
      <c r="E20" s="4" t="inlineStr">
        <is>
          <t>帖子/媒体｜帖子图片/视频只存浏览器表示</t>
        </is>
      </c>
      <c r="F20" s="4" t="inlineStr">
        <is>
          <t>PostEditorView图片compressImageFile，视频URL.createObjectURL。</t>
        </is>
      </c>
      <c r="G20" s="4" t="inlineStr">
        <is>
          <t>保存有视频笔记后换浏览器，创建手机发布任务。</t>
        </is>
      </c>
      <c r="H20" s="4" t="inlineStr">
        <is>
          <t>复用MediaAsset上传，revision保存媒体顺序/封面/类型。</t>
        </is>
      </c>
      <c r="I20" s="4" t="inlineStr">
        <is>
          <t>帖子素材跨端可用，任务使用固定asset版本。</t>
        </is>
      </c>
      <c r="J20" s="4" t="inlineStr">
        <is>
          <t>T044→P16；T068→P24</t>
        </is>
      </c>
      <c r="K20" s="4" t="inlineStr">
        <is>
          <t>负责人：ZCode
证据：未提供</t>
        </is>
      </c>
      <c r="L20" s="4" t="inlineStr">
        <is>
          <t>原01_代码审阅!A20:N20
https://github.com/candywang98/lamda-yun/blob/b394475c56a07b0ea660531222d182646e1c7e66/apps/web/src/views/PostEditorView.vue</t>
        </is>
      </c>
    </row>
    <row r="21" ht="150" customHeight="1">
      <c r="A21" s="4" t="inlineStr">
        <is>
          <t>B016</t>
        </is>
      </c>
      <c r="B21" s="4" t="inlineStr">
        <is>
          <t>P2</t>
        </is>
      </c>
      <c r="C21" s="4" t="inlineStr">
        <is>
          <t>静态确认</t>
        </is>
      </c>
      <c r="D21" s="4" t="inlineStr">
        <is>
          <t>未处理</t>
        </is>
      </c>
      <c r="E21" s="4" t="inlineStr">
        <is>
          <t>商品/性能｜商品列表全量读取且逐商品查媒体</t>
        </is>
      </c>
      <c r="F21" s="4" t="inlineStr">
        <is>
          <t>services.py list_products/filter_products对每个商品查询ProductMedia，未提供分页结果。</t>
        </is>
      </c>
      <c r="G21" s="4" t="inlineStr">
        <is>
          <t>1000商品执行列表；记录SQL计数与返回条数。</t>
        </is>
      </c>
      <c r="H21" s="4" t="inlineStr">
        <is>
          <t>增加稳定排序分页和批量媒体join；限制pageSize；Web不取全量再分页。</t>
        </is>
      </c>
      <c r="I21" s="4" t="inlineStr">
        <is>
          <t>1页&lt;=100条；SQL次数不随页内商品数线性增长。</t>
        </is>
      </c>
      <c r="J21" s="4" t="inlineStr">
        <is>
          <t>T059→P21；T062→P21</t>
        </is>
      </c>
      <c r="K21" s="4" t="inlineStr">
        <is>
          <t>负责人：未填
证据：未提供</t>
        </is>
      </c>
      <c r="L21" s="4" t="inlineStr">
        <is>
          <t>原01_代码审阅!A21:N21
https://github.com/candywang98/lamda-yun/blob/b394475c56a07b0ea660531222d182646e1c7e66/services/control-api/src/cloudctl_api/services.py</t>
        </is>
      </c>
    </row>
    <row r="22" ht="150" customHeight="1">
      <c r="A22" s="4" t="inlineStr">
        <is>
          <t>B017</t>
        </is>
      </c>
      <c r="B22" s="4" t="inlineStr">
        <is>
          <t>P1</t>
        </is>
      </c>
      <c r="C22" s="4" t="inlineStr">
        <is>
          <t>需求差距</t>
        </is>
      </c>
      <c r="D22" s="4" t="inlineStr">
        <is>
          <t>未处理</t>
        </is>
      </c>
      <c r="E22" s="4" t="inlineStr">
        <is>
          <t>小红书/发布｜小红书发布页面只保存本地计划</t>
        </is>
      </c>
      <c r="F22" s="4" t="inlineStr">
        <is>
          <t>PostPublishView.createTask没有API创建任务，提示不下发手机。</t>
        </is>
      </c>
      <c r="G22" s="4" t="inlineStr">
        <is>
          <t>点击创建，查看Network和服务端任务列表。</t>
        </is>
      </c>
      <c r="H22" s="4" t="inlineStr">
        <is>
          <t>统一xhs.publish_note命令、快照、媒体delivery和真实任务状态。</t>
        </is>
      </c>
      <c r="I22" s="4" t="inlineStr">
        <is>
          <t>网页→手机→发布结果/证据闭环，刷新保持历史。</t>
        </is>
      </c>
      <c r="J22" s="4" t="inlineStr">
        <is>
          <t>T071→P25；T076→P25</t>
        </is>
      </c>
      <c r="K22" s="4" t="inlineStr">
        <is>
          <t>负责人：未填
证据：未提供</t>
        </is>
      </c>
      <c r="L22" s="4" t="inlineStr">
        <is>
          <t>原01_代码审阅!A22:N22
https://github.com/candywang98/lamda-yun/blob/b394475c56a07b0ea660531222d182646e1c7e66/apps/web/src/views/PostPublishView.vue</t>
        </is>
      </c>
    </row>
    <row r="23" ht="150" customHeight="1">
      <c r="A23" s="4" t="inlineStr">
        <is>
          <t>B018</t>
        </is>
      </c>
      <c r="B23" s="4" t="inlineStr">
        <is>
          <t>P1</t>
        </is>
      </c>
      <c r="C23" s="4" t="inlineStr">
        <is>
          <t>需求差距</t>
        </is>
      </c>
      <c r="D23" s="4" t="inlineStr">
        <is>
          <t>未处理</t>
        </is>
      </c>
      <c r="E23" s="4" t="inlineStr">
        <is>
          <t>闲鱼/发布｜发布商品页面没有下发真实任务</t>
        </is>
      </c>
      <c r="F23" s="4" t="inlineStr">
        <is>
          <t>XianyuPublishGoodsView.createTask调用save/record并明确不会下发。</t>
        </is>
      </c>
      <c r="G23" s="4" t="inlineStr">
        <is>
          <t>创建发布任务，确认服务端无对应任务。</t>
        </is>
      </c>
      <c r="H23" s="4" t="inlineStr">
        <is>
          <t>改统一任务API；前端仅传业务参数，不生成UI步骤。</t>
        </is>
      </c>
      <c r="I23" s="4" t="inlineStr">
        <is>
          <t>后台存在独立taskId，APK收到正确商品快照。</t>
        </is>
      </c>
      <c r="J23" s="4" t="inlineStr">
        <is>
          <t>T078→P28；T081→P28</t>
        </is>
      </c>
      <c r="K23" s="4" t="inlineStr">
        <is>
          <t>负责人：未填
证据：未提供</t>
        </is>
      </c>
      <c r="L23" s="4" t="inlineStr">
        <is>
          <t>原01_代码审阅!A23:N23
https://github.com/candywang98/lamda-yun/blob/b394475c56a07b0ea660531222d182646e1c7e66/apps/web/src/views/XianyuPublishGoodsView.vue</t>
        </is>
      </c>
    </row>
    <row r="24" ht="150" customHeight="1">
      <c r="A24" s="4" t="inlineStr">
        <is>
          <t>B019</t>
        </is>
      </c>
      <c r="B24" s="4" t="inlineStr">
        <is>
          <t>P1</t>
        </is>
      </c>
      <c r="C24" s="4" t="inlineStr">
        <is>
          <t>需求差距</t>
        </is>
      </c>
      <c r="D24" s="4" t="inlineStr">
        <is>
          <t>未处理</t>
        </is>
      </c>
      <c r="E24" s="4" t="inlineStr">
        <is>
          <t>闲鱼/基础任务｜擦亮/上下架/删除/绑定仍为本地任务</t>
        </is>
      </c>
      <c r="F24" s="4" t="inlineStr">
        <is>
          <t>XianyuSimpleTaskView.createTask只saveSimpleConfig/recordSimpleTask。</t>
        </is>
      </c>
      <c r="G24" s="4" t="inlineStr">
        <is>
          <t>创建擦亮任务，检查服务端与手机。</t>
        </is>
      </c>
      <c r="H24" s="4" t="inlineStr">
        <is>
          <t>逐operation映射强类型命令并接真实任务页。</t>
        </is>
      </c>
      <c r="I24" s="4" t="inlineStr">
        <is>
          <t>每类有API、APK recipe与真机证据，不靠toast验收。</t>
        </is>
      </c>
      <c r="J24" s="4" t="inlineStr">
        <is>
          <t>T077→P01</t>
        </is>
      </c>
      <c r="K24" s="4" t="inlineStr">
        <is>
          <t>负责人：未填
证据：未提供</t>
        </is>
      </c>
      <c r="L24" s="4" t="inlineStr">
        <is>
          <t>原01_代码审阅!A24:N24
https://github.com/candywang98/lamda-yun/blob/b394475c56a07b0ea660531222d182646e1c7e66/apps/web/src/views/XianyuSimpleTaskView.vue</t>
        </is>
      </c>
    </row>
    <row r="25" ht="150" customHeight="1">
      <c r="A25" s="4" t="inlineStr">
        <is>
          <t>B020</t>
        </is>
      </c>
      <c r="B25" s="4" t="inlineStr">
        <is>
          <t>P1</t>
        </is>
      </c>
      <c r="C25" s="4" t="inlineStr">
        <is>
          <t>需求差距</t>
        </is>
      </c>
      <c r="D25" s="4" t="inlineStr">
        <is>
          <t>未处理</t>
        </is>
      </c>
      <c r="E25" s="4" t="inlineStr">
        <is>
          <t>闲鱼/扩展任务｜鱼币、评价、重发等只记录本地配置</t>
        </is>
      </c>
      <c r="F25" s="4" t="inlineStr">
        <is>
          <t>XianyuExtraTaskView.createTask只saveExtraConfig/recordExtraTask。</t>
        </is>
      </c>
      <c r="G25" s="4" t="inlineStr">
        <is>
          <t>创建每种extra kind并观察无真实任务。</t>
        </is>
      </c>
      <c r="H25" s="4" t="inlineStr">
        <is>
          <t>15类逐项接通；保留字段语义；不要把一键小刀误写成一键降价。</t>
        </is>
      </c>
      <c r="I25" s="4" t="inlineStr">
        <is>
          <t>所有kind有schema映射和独立验收，风险操作防重。</t>
        </is>
      </c>
      <c r="J25" s="4" t="inlineStr">
        <is>
          <t>T077→P01</t>
        </is>
      </c>
      <c r="K25" s="4" t="inlineStr">
        <is>
          <t>负责人：未填
证据：未提供</t>
        </is>
      </c>
      <c r="L25" s="4" t="inlineStr">
        <is>
          <t>原01_代码审阅!A25:N25
https://github.com/candywang98/lamda-yun/blob/b394475c56a07b0ea660531222d182646e1c7e66/apps/web/src/views/XianyuExtraTaskView.vue
https://github.com/candywang98/lamda-yun/blob/b394475c56a07b0ea660531222d182646e1c7e66/apps/web/src/data/xianyu-extra-tasks.ts</t>
        </is>
      </c>
    </row>
    <row r="26" ht="150" customHeight="1">
      <c r="A26" s="4" t="inlineStr">
        <is>
          <t>B021</t>
        </is>
      </c>
      <c r="B26" s="4" t="inlineStr">
        <is>
          <t>P1</t>
        </is>
      </c>
      <c r="C26" s="4" t="inlineStr">
        <is>
          <t>需求差距</t>
        </is>
      </c>
      <c r="D26" s="4" t="inlineStr">
        <is>
          <t>未处理</t>
        </is>
      </c>
      <c r="E26" s="4" t="inlineStr">
        <is>
          <t>小红书/后端｜后端目标包allowlist不含小红书</t>
        </is>
      </c>
      <c r="F26" s="4" t="inlineStr">
        <is>
          <t>mobile_service._insert_task只允许Companion和闲鱼。</t>
        </is>
      </c>
      <c r="G26" s="4" t="inlineStr">
        <is>
          <t>尝试创建小红书目标任务，观察拒绝。</t>
        </is>
      </c>
      <c r="H26" s="4" t="inlineStr">
        <is>
          <t>扩展TargetAppRegistry且任务创建按设备上报版本/能力校验。</t>
        </is>
      </c>
      <c r="I26" s="4" t="inlineStr">
        <is>
          <t>支持小红书可下发；未知包仍拒绝。</t>
        </is>
      </c>
      <c r="J26" s="4" t="inlineStr">
        <is>
          <t>T009→P04；T012→P01</t>
        </is>
      </c>
      <c r="K26" s="4" t="inlineStr">
        <is>
          <t>负责人：未填
证据：2026-09-06 CommandV1 已声明 com.xingin.xhs； mobile_service._insert_task allowlist 仍无小红书，B021 未完全关闭。</t>
        </is>
      </c>
      <c r="L26" s="4" t="inlineStr">
        <is>
          <t>原01_代码审阅!A26:N26
https://github.com/candywang98/lamda-yun/blob/b394475c56a07b0ea660531222d182646e1c7e66/services/control-api/src/cloudctl_api/mobile_service.py</t>
        </is>
      </c>
    </row>
    <row r="27" ht="150" customHeight="1">
      <c r="A27" s="4" t="inlineStr">
        <is>
          <t>B022</t>
        </is>
      </c>
      <c r="B27" s="4" t="inlineStr">
        <is>
          <t>P1</t>
        </is>
      </c>
      <c r="C27" s="4" t="inlineStr">
        <is>
          <t>需求差距</t>
        </is>
      </c>
      <c r="D27" s="4" t="inlineStr">
        <is>
          <t>代码已修/待联调</t>
        </is>
      </c>
      <c r="E27" s="4" t="inlineStr">
        <is>
          <t>小红书/APK｜APK本地allowlist及locator也不含小红书</t>
        </is>
      </c>
      <c r="F27" s="4" t="inlineStr">
        <is>
          <t>CloudCtlAccessibilityService.ensureReady和TargetLocatorRegistry只支持两个包。</t>
        </is>
      </c>
      <c r="G27" s="4" t="inlineStr">
        <is>
          <t>传小红书目标给本地执行器。</t>
        </is>
      </c>
      <c r="H27" s="4" t="inlineStr">
        <is>
          <t>注册已签名平台定义与locator集；保留本地授权限制。</t>
        </is>
      </c>
      <c r="I27" s="4" t="inlineStr">
        <is>
          <t>正确包通过，篡改包或未发布recipe拒绝。</t>
        </is>
      </c>
      <c r="J27" s="4" t="inlineStr">
        <is>
          <t>T009→P04；T020→P07</t>
        </is>
      </c>
      <c r="K27" s="4" t="inlineStr">
        <is>
          <t>负责人：ZCode
证据：2026-09-07 Companion 生命周期/outbox/checkpoint/防重 journal 已落地；真机证据待联调。</t>
        </is>
      </c>
      <c r="L27" s="4" t="inlineStr">
        <is>
          <t>原01_代码审阅!A27:N27
https://github.com/candywang98/lamda-yun/blob/b394475c56a07b0ea660531222d182646e1c7e66/mobile/companion/app/src/main/java/com/company/cloudctl/companion/automation/CloudCtlAccessibilityService.kt
https://github.com/candywang98/lamda-yun/blob/b394475c56a07b0ea660531222d182646e1c7e66/mobile/companion/app/src/main/java/com/company/cloudctl/companion/automation/TargetLocatorRegistry.kt</t>
        </is>
      </c>
    </row>
    <row r="28" ht="150" customHeight="1">
      <c r="A28" s="4" t="inlineStr">
        <is>
          <t>B023</t>
        </is>
      </c>
      <c r="B28" s="4" t="inlineStr">
        <is>
          <t>P1</t>
        </is>
      </c>
      <c r="C28" s="4" t="inlineStr">
        <is>
          <t>需求差距</t>
        </is>
      </c>
      <c r="D28" s="4" t="inlineStr">
        <is>
          <t>未处理</t>
        </is>
      </c>
      <c r="E28" s="4" t="inlineStr">
        <is>
          <t>平台兼容｜定位器没有目标App版本维度</t>
        </is>
      </c>
      <c r="F28" s="4" t="inlineStr">
        <is>
          <t>TargetLocatorRegistry按package分支，闲鱼大量固定contentDescription。</t>
        </is>
      </c>
      <c r="G28" s="4" t="inlineStr">
        <is>
          <t>对两个App版本运行locator探测并比较。</t>
        </is>
      </c>
      <c r="H28" s="4" t="inlineStr">
        <is>
          <t>APK自动上报版本；包内兼容范围+页面指纹；未知页面暂停等待适配，不要求用户手填版本。</t>
        </is>
      </c>
      <c r="I28" s="4" t="inlineStr">
        <is>
          <t>升级后不盲点；兼容失败回报明确原因和证据。</t>
        </is>
      </c>
      <c r="J28" s="4" t="inlineStr">
        <is>
          <t>T009→P04；T039→P13</t>
        </is>
      </c>
      <c r="K28" s="4" t="inlineStr">
        <is>
          <t>负责人：未填
证据：未提供</t>
        </is>
      </c>
      <c r="L28" s="4" t="inlineStr">
        <is>
          <t>原01_代码审阅!A28:N28
https://github.com/candywang98/lamda-yun/blob/b394475c56a07b0ea660531222d182646e1c7e66/mobile/companion/app/src/main/java/com/company/cloudctl/companion/automation/TargetLocatorRegistry.kt
https://github.com/candywang98/lamda-yun/blob/b394475c56a07b0ea660531222d182646e1c7e66/services/control-api/src/cloudctl_api/mobile_service.py</t>
        </is>
      </c>
    </row>
    <row r="29" ht="150" customHeight="1">
      <c r="A29" s="4" t="inlineStr">
        <is>
          <t>B024</t>
        </is>
      </c>
      <c r="B29" s="4" t="inlineStr">
        <is>
          <t>P1</t>
        </is>
      </c>
      <c r="C29" s="4" t="inlineStr">
        <is>
          <t>静态确认</t>
        </is>
      </c>
      <c r="D29" s="4" t="inlineStr">
        <is>
          <t>代码已修/待联调</t>
        </is>
      </c>
      <c r="E29" s="4" t="inlineStr">
        <is>
          <t>APK/启动｜执行前没有统一拉起目标App</t>
        </is>
      </c>
      <c r="F29" s="4" t="inlineStr">
        <is>
          <t>runNext直接service.execute；ensureReady要求root.packageName==target。</t>
        </is>
      </c>
      <c r="G29" s="4" t="inlineStr">
        <is>
          <t>手机停桌面时创建闲鱼发布任务。</t>
        </is>
      </c>
      <c r="H29" s="4" t="inlineStr">
        <is>
          <t>增加launch→等待目标包→账号探测→页面归一化；已知权限弹窗单独处理。</t>
        </is>
      </c>
      <c r="I29" s="4" t="inlineStr">
        <is>
          <t>桌面/其它App起点均能开始，未安装报APP_NOT_INSTALLED。</t>
        </is>
      </c>
      <c r="J29" s="4" t="inlineStr">
        <is>
          <t>T021→P07</t>
        </is>
      </c>
      <c r="K29" s="4" t="inlineStr">
        <is>
          <t>负责人：ZCode
证据：2026-09-07 Companion 生命周期/outbox/checkpoint/防重 journal 已落地；真机证据待联调。</t>
        </is>
      </c>
      <c r="L29" s="4" t="inlineStr">
        <is>
          <t>原01_代码审阅!A29:N29
https://github.com/candywang98/lamda-yun/blob/b394475c56a07b0ea660531222d182646e1c7e66/mobile/companion/app/src/main/java/com/company/cloudctl/companion/service/CompanionSyncService.kt
https://github.com/candywang98/lamda-yun/blob/b394475c56a07b0ea660531222d182646e1c7e66/mobile/companion/app/src/main/java/com/company/cloudctl/companion/automation/CloudCtlAccessibilityService.kt</t>
        </is>
      </c>
    </row>
    <row r="30" ht="150" customHeight="1">
      <c r="A30" s="4" t="inlineStr">
        <is>
          <t>B025</t>
        </is>
      </c>
      <c r="B30" s="4" t="inlineStr">
        <is>
          <t>P0</t>
        </is>
      </c>
      <c r="C30" s="4" t="inlineStr">
        <is>
          <t>待复现风险</t>
        </is>
      </c>
      <c r="D30" s="4" t="inlineStr">
        <is>
          <t>代码已修/待联调</t>
        </is>
      </c>
      <c r="E30" s="4" t="inlineStr">
        <is>
          <t>APK/素材｜下载素材在执行try与续租之前</t>
        </is>
      </c>
      <c r="F30" s="4" t="inlineStr">
        <is>
          <t>runNext素材校验与deliver位于try之前，sendInitialHeartbeat与周期续租在其后。</t>
        </is>
      </c>
      <c r="G30" s="4" t="inlineStr">
        <is>
          <t>大视频限速下载超过lease；或下载抛异常；观察本地RUNNING和服务端重领。</t>
        </is>
      </c>
      <c r="H30" s="4" t="inlineStr">
        <is>
          <t>领取后立即续租；下载也受任务状态机与取消控制；异常必须持久化可恢复状态。</t>
        </is>
      </c>
      <c r="I30" s="4" t="inlineStr">
        <is>
          <t>慢下载不失租；下载失败可重试且不卡死；旧租约不得继续执行UI。</t>
        </is>
      </c>
      <c r="J30" s="4" t="inlineStr">
        <is>
          <t>T016→P08；T047→P17；T021→P07</t>
        </is>
      </c>
      <c r="K30" s="4" t="inlineStr">
        <is>
          <t>负责人：ZCode
证据：2026-09-07 Companion 生命周期/outbox/checkpoint/防重 journal 已落地；真机证据待联调。</t>
        </is>
      </c>
      <c r="L30" s="4" t="inlineStr">
        <is>
          <t>原01_代码审阅!A30:N30
https://github.com/candywang98/lamda-yun/blob/b394475c56a07b0ea660531222d182646e1c7e66/mobile/companion/app/src/main/java/com/company/cloudctl/companion/service/CompanionSyncService.kt
https://github.com/candywang98/lamda-yun/blob/b394475c56a07b0ea660531222d182646e1c7e66/mobile/companion/app/src/main/java/com/company/cloudctl/companion/data/AutomationStore.kt</t>
        </is>
      </c>
    </row>
    <row r="31" ht="150" customHeight="1">
      <c r="A31" s="4" t="inlineStr">
        <is>
          <t>B026</t>
        </is>
      </c>
      <c r="B31" s="4" t="inlineStr">
        <is>
          <t>P1</t>
        </is>
      </c>
      <c r="C31" s="4" t="inlineStr">
        <is>
          <t>静态确认</t>
        </is>
      </c>
      <c r="D31" s="4" t="inlineStr">
        <is>
          <t>代码已修/待联调</t>
        </is>
      </c>
      <c r="E31" s="4" t="inlineStr">
        <is>
          <t>APK/诊断｜外层吞掉具体错误码和取消原因</t>
        </is>
      </c>
      <c r="F31" s="4" t="inlineStr">
        <is>
          <t>runNext catch(Exception)调用finish(false)默认TASK_EXECUTION_FAILED。</t>
        </is>
      </c>
      <c r="G31" s="4" t="inlineStr">
        <is>
          <t>制造LOCATOR_NOT_FOUND、STEP_TIMEOUT和服务取消。</t>
        </is>
      </c>
      <c r="H31" s="4" t="inlineStr">
        <is>
          <t>分层处理业务异常/取消/未知异常；保留code、step、safeMessage、correlationId。</t>
        </is>
      </c>
      <c r="I31" s="4" t="inlineStr">
        <is>
          <t>不同错误分别可见；用户暂停不被标普通失败。</t>
        </is>
      </c>
      <c r="J31" s="4" t="inlineStr">
        <is>
          <t>T014→P05；T021→P07</t>
        </is>
      </c>
      <c r="K31" s="4" t="inlineStr">
        <is>
          <t>负责人：ZCode
证据：2026-09-07 Companion 生命周期/outbox/checkpoint/防重 journal 已落地；真机证据待联调。</t>
        </is>
      </c>
      <c r="L31" s="4" t="inlineStr">
        <is>
          <t>原01_代码审阅!A31:N31
https://github.com/candywang98/lamda-yun/blob/b394475c56a07b0ea660531222d182646e1c7e66/mobile/companion/app/src/main/java/com/company/cloudctl/companion/service/CompanionSyncService.kt
https://github.com/candywang98/lamda-yun/blob/b394475c56a07b0ea660531222d182646e1c7e66/mobile/companion/app/src/main/java/com/company/cloudctl/companion/automation/LocalAutomationExecutor.kt
https://github.com/candywang98/lamda-yun/blob/b394475c56a07b0ea660531222d182646e1c7e66/mobile/companion/app/src/main/java/com/company/cloudctl/companion/data/AutomationStore.kt</t>
        </is>
      </c>
    </row>
    <row r="32" ht="150" customHeight="1">
      <c r="A32" s="4" t="inlineStr">
        <is>
          <t>B027</t>
        </is>
      </c>
      <c r="B32" s="4" t="inlineStr">
        <is>
          <t>P1</t>
        </is>
      </c>
      <c r="C32" s="4" t="inlineStr">
        <is>
          <t>静态确认</t>
        </is>
      </c>
      <c r="D32" s="4" t="inlineStr">
        <is>
          <t>代码已修/待联调</t>
        </is>
      </c>
      <c r="E32" s="4" t="inlineStr">
        <is>
          <t>APK/事件｜运行中事件仅入本地outbox，主循环执行后才flush</t>
        </is>
      </c>
      <c r="F32" s="4" t="inlineStr">
        <is>
          <t>syncLoop在runNext前flushOutbox；step回调只recordStepEvent。</t>
        </is>
      </c>
      <c r="G32" s="4" t="inlineStr">
        <is>
          <t>运行长任务并比较手机journal和云端events到达时间。</t>
        </is>
      </c>
      <c r="H32" s="4" t="inlineStr">
        <is>
          <t>独立outbox上传协程，按task/sequence有序重试，不阻塞执行线程。</t>
        </is>
      </c>
      <c r="I32" s="4" t="inlineStr">
        <is>
          <t>联网时步骤事件及时到云端；断线补传不乱序。</t>
        </is>
      </c>
      <c r="J32" s="4" t="inlineStr">
        <is>
          <t>T014→P05；T022→P07</t>
        </is>
      </c>
      <c r="K32" s="4" t="inlineStr">
        <is>
          <t>负责人：ZCode
证据：2026-09-07 Companion 生命周期/outbox/checkpoint/防重 journal 已落地；真机证据待联调。</t>
        </is>
      </c>
      <c r="L32" s="4" t="inlineStr">
        <is>
          <t>原01_代码审阅!A32:N32
https://github.com/candywang98/lamda-yun/blob/b394475c56a07b0ea660531222d182646e1c7e66/mobile/companion/app/src/main/java/com/company/cloudctl/companion/service/CompanionSyncService.kt
https://github.com/candywang98/lamda-yun/blob/b394475c56a07b0ea660531222d182646e1c7e66/mobile/companion/app/src/main/java/com/company/cloudctl/companion/data/AutomationStore.kt</t>
        </is>
      </c>
    </row>
    <row r="33" ht="150" customHeight="1">
      <c r="A33" s="4" t="inlineStr">
        <is>
          <t>B028</t>
        </is>
      </c>
      <c r="B33" s="4" t="inlineStr">
        <is>
          <t>P1</t>
        </is>
      </c>
      <c r="C33" s="4" t="inlineStr">
        <is>
          <t>需求差距</t>
        </is>
      </c>
      <c r="D33" s="4" t="inlineStr">
        <is>
          <t>代码已修/待联调</t>
        </is>
      </c>
      <c r="E33" s="4" t="inlineStr">
        <is>
          <t>任务/证据｜截图证据未进入云端任务附件闭环</t>
        </is>
      </c>
      <c r="F33" s="4" t="inlineStr">
        <is>
          <t>executor Screenshot仅校验path/hash并log；journal payload仅detailCode。</t>
        </is>
      </c>
      <c r="G33" s="4" t="inlineStr">
        <is>
          <t>执行screenshot步骤后查看服务端任务证据。</t>
        </is>
      </c>
      <c r="H33" s="4" t="inlineStr">
        <is>
          <t>对象上传+Evidence元数据+事件引用，失败尽力上传最后一帧。</t>
        </is>
      </c>
      <c r="I33" s="4" t="inlineStr">
        <is>
          <t>Web可读原截图，hash/step/task匹配，越权拒绝。</t>
        </is>
      </c>
      <c r="J33" s="4" t="inlineStr">
        <is>
          <t>T050→P18；T022→P07</t>
        </is>
      </c>
      <c r="K33" s="4" t="inlineStr">
        <is>
          <t>负责人：ZCode
证据：2026-09-07 Companion 生命周期/outbox/checkpoint/防重 journal 已落地；真机证据待联调。</t>
        </is>
      </c>
      <c r="L33" s="4" t="inlineStr">
        <is>
          <t>原01_代码审阅!A33:N33
https://github.com/candywang98/lamda-yun/blob/b394475c56a07b0ea660531222d182646e1c7e66/mobile/companion/app/src/main/java/com/company/cloudctl/companion/automation/LocalAutomationExecutor.kt
https://github.com/candywang98/lamda-yun/blob/b394475c56a07b0ea660531222d182646e1c7e66/mobile/companion/app/src/main/java/com/company/cloudctl/companion/service/CompanionSyncService.kt</t>
        </is>
      </c>
    </row>
    <row r="34" ht="150" customHeight="1">
      <c r="A34" s="4" t="inlineStr">
        <is>
          <t>B029</t>
        </is>
      </c>
      <c r="B34" s="4" t="inlineStr">
        <is>
          <t>P1</t>
        </is>
      </c>
      <c r="C34" s="4" t="inlineStr">
        <is>
          <t>需求差距</t>
        </is>
      </c>
      <c r="D34" s="4" t="inlineStr">
        <is>
          <t>代码已修/待联调</t>
        </is>
      </c>
      <c r="E34" s="4" t="inlineStr">
        <is>
          <t>APK/恢复｜后置条件已满足被一律判为失败</t>
        </is>
      </c>
      <c r="F34" s="4" t="inlineStr">
        <is>
          <t>Tap检测postcondition存在抛POSTCONDITION_ALREADY_MET。</t>
        </is>
      </c>
      <c r="G34" s="4" t="inlineStr">
        <is>
          <t>暂停在点击后、记录前；恢复相同步骤。</t>
        </is>
      </c>
      <c r="H34" s="4" t="inlineStr">
        <is>
          <t>按动作与检查点做resume guard；核实是本任务已完成后跳过；证据不充分进RECONCILING，不能简单全改成功。</t>
        </is>
      </c>
      <c r="I34" s="4" t="inlineStr">
        <is>
          <t>既不重复发布/删除，也不把无关页面误认成功。</t>
        </is>
      </c>
      <c r="J34" s="4" t="inlineStr">
        <is>
          <t>T023→P08；T024→P09；T027→P08</t>
        </is>
      </c>
      <c r="K34" s="4" t="inlineStr">
        <is>
          <t>负责人：ZCode
证据：2026-09-07 Companion 生命周期/outbox/checkpoint/防重 journal 已落地；真机证据待联调。</t>
        </is>
      </c>
      <c r="L34" s="4" t="inlineStr">
        <is>
          <t>原01_代码审阅!A34:N34
https://github.com/candywang98/lamda-yun/blob/b394475c56a07b0ea660531222d182646e1c7e66/mobile/companion/app/src/main/java/com/company/cloudctl/companion/automation/LocalAutomationExecutor.kt</t>
        </is>
      </c>
    </row>
    <row r="35" ht="150" customHeight="1">
      <c r="A35" s="4" t="inlineStr">
        <is>
          <t>B030</t>
        </is>
      </c>
      <c r="B35" s="4" t="inlineStr">
        <is>
          <t>P1</t>
        </is>
      </c>
      <c r="C35" s="4" t="inlineStr">
        <is>
          <t>需求差距</t>
        </is>
      </c>
      <c r="D35" s="4" t="inlineStr">
        <is>
          <t>代码已修/待联调</t>
        </is>
      </c>
      <c r="E35" s="4" t="inlineStr">
        <is>
          <t>APK/恢复｜进程重启把运行任务标失败</t>
        </is>
      </c>
      <c r="F35" s="4" t="inlineStr">
        <is>
          <t>AutomationStore.recoverInterruptedRuns写FAILED_RESTART；缺状态变量/循环游标检查点。</t>
        </is>
      </c>
      <c r="G35" s="4" t="inlineStr">
        <is>
          <t>执行中重启Companion，观察任务终态。</t>
        </is>
      </c>
      <c r="H35" s="4" t="inlineStr">
        <is>
          <t>持久化checkpoint与commit journal，重启后先恢复到暂停/核对，不重放不可逆动作。</t>
        </is>
      </c>
      <c r="I35" s="4" t="inlineStr">
        <is>
          <t>同taskId可安全恢复；不确定提交等待核对。</t>
        </is>
      </c>
      <c r="J35" s="4" t="inlineStr">
        <is>
          <t>T023→P08；T027→P08</t>
        </is>
      </c>
      <c r="K35" s="4" t="inlineStr">
        <is>
          <t>负责人：ZCode
证据：2026-09-07 Companion 生命周期/outbox/checkpoint/防重 journal 已落地；真机证据待联调。</t>
        </is>
      </c>
      <c r="L35" s="4" t="inlineStr">
        <is>
          <t>原01_代码审阅!A35:N35
https://github.com/candywang98/lamda-yun/blob/b394475c56a07b0ea660531222d182646e1c7e66/mobile/companion/app/src/main/java/com/company/cloudctl/companion/data/AutomationStore.kt</t>
        </is>
      </c>
    </row>
    <row r="36" ht="150" customHeight="1">
      <c r="A36" s="4" t="inlineStr">
        <is>
          <t>B031</t>
        </is>
      </c>
      <c r="B36" s="4" t="inlineStr">
        <is>
          <t>P1</t>
        </is>
      </c>
      <c r="C36" s="4" t="inlineStr">
        <is>
          <t>需求差距</t>
        </is>
      </c>
      <c r="D36" s="4" t="inlineStr">
        <is>
          <t>代码已修/待联调</t>
        </is>
      </c>
      <c r="E36" s="4" t="inlineStr">
        <is>
          <t>结果协议｜成功result固定空JSON</t>
        </is>
      </c>
      <c r="F36" s="4" t="inlineStr">
        <is>
          <t>AutomationStore.enqueueTerminalLocked成功仅发送result:{}。</t>
        </is>
      </c>
      <c r="G36" s="4" t="inlineStr">
        <is>
          <t>完成发布/采集后检查complete body。</t>
        </is>
      </c>
      <c r="H36" s="4" t="inlineStr">
        <is>
          <t>按commandType发送typed result；大数据分批ingest，result带batch统计。</t>
        </is>
      </c>
      <c r="I36" s="4" t="inlineStr">
        <is>
          <t>非法resultType拒绝；发布/订单/指标各有结构化结果。</t>
        </is>
      </c>
      <c r="J36" s="4" t="inlineStr">
        <is>
          <t>T014→P05；T022→P07</t>
        </is>
      </c>
      <c r="K36" s="4" t="inlineStr">
        <is>
          <t>负责人：ZCode
证据：2026-09-07 Companion 生命周期/outbox/checkpoint/防重 journal 已落地；真机证据待联调。</t>
        </is>
      </c>
      <c r="L36" s="4" t="inlineStr">
        <is>
          <t>原01_代码审阅!A36:N36
https://github.com/candywang98/lamda-yun/blob/b394475c56a07b0ea660531222d182646e1c7e66/mobile/companion/app/src/main/java/com/company/cloudctl/companion/data/AutomationStore.kt
https://github.com/candywang98/lamda-yun/blob/b394475c56a07b0ea660531222d182646e1c7e66/services/control-api/src/cloudctl_api/mobile_schemas.py</t>
        </is>
      </c>
    </row>
    <row r="37" ht="150" customHeight="1">
      <c r="A37" s="4" t="inlineStr">
        <is>
          <t>B032</t>
        </is>
      </c>
      <c r="B37" s="4" t="inlineStr">
        <is>
          <t>P1</t>
        </is>
      </c>
      <c r="C37" s="4" t="inlineStr">
        <is>
          <t>静态确认</t>
        </is>
      </c>
      <c r="D37" s="4" t="inlineStr">
        <is>
          <t>未处理</t>
        </is>
      </c>
      <c r="E37" s="4" t="inlineStr">
        <is>
          <t>媒体/权限｜deliveryId没有绑定任务/设备/素材授权</t>
        </is>
      </c>
      <c r="F37" s="4" t="inlineStr">
        <is>
          <t>media_manifest按tenant+assetIds查；deliveryId原样回显；download仅按tenant检查。</t>
        </is>
      </c>
      <c r="G37" s="4" t="inlineStr">
        <is>
          <t>A设备请求分配给B的已知assetId，检查是否获文件。</t>
        </is>
      </c>
      <c r="H37" s="4" t="inlineStr">
        <is>
          <t>MediaDelivery绑定device/task/assetSet/expiry；所有下载入口强制校验并审计。</t>
        </is>
      </c>
      <c r="I37" s="4" t="inlineStr">
        <is>
          <t>同租户不同设备未授权素材403；取消/过期delivery失效。</t>
        </is>
      </c>
      <c r="J37" s="4" t="inlineStr">
        <is>
          <t>T046→P17</t>
        </is>
      </c>
      <c r="K37" s="4" t="inlineStr">
        <is>
          <t>负责人：未填
证据：未提供</t>
        </is>
      </c>
      <c r="L37" s="4" t="inlineStr">
        <is>
          <t>原01_代码审阅!A37:N37
https://github.com/candywang98/lamda-yun/blob/b394475c56a07b0ea660531222d182646e1c7e66/services/control-api/src/cloudctl_api/mobile_service.py
https://github.com/candywang98/lamda-yun/blob/b394475c56a07b0ea660531222d182646e1c7e66/services/control-api/src/cloudctl_api/mobile_routes.py</t>
        </is>
      </c>
    </row>
    <row r="38" ht="150" customHeight="1">
      <c r="A38" s="4" t="inlineStr">
        <is>
          <t>B033</t>
        </is>
      </c>
      <c r="B38" s="4" t="inlineStr">
        <is>
          <t>P1</t>
        </is>
      </c>
      <c r="C38" s="4" t="inlineStr">
        <is>
          <t>静态确认</t>
        </is>
      </c>
      <c r="D38" s="4" t="inlineStr">
        <is>
          <t>代码已修/待联调</t>
        </is>
      </c>
      <c r="E38" s="4" t="inlineStr">
        <is>
          <t>账号/权限｜手机账号状态接口返回租户全部账号</t>
        </is>
      </c>
      <c r="F38" s="4" t="inlineStr">
        <is>
          <t>account_status先取tenant全部accounts；boundToDevice只是布尔字段。</t>
        </is>
      </c>
      <c r="G38" s="4" t="inlineStr">
        <is>
          <t>A/B各绑不同账号；A调accounts/status。</t>
        </is>
      </c>
      <c r="H38" s="4" t="inlineStr">
        <is>
          <t>只返回当前设备活跃绑定账号的最小字段，去掉无关账号列表。</t>
        </is>
      </c>
      <c r="I38" s="4" t="inlineStr">
        <is>
          <t>A看不到B独有账号；解绑后立即不可见。</t>
        </is>
      </c>
      <c r="J38" s="4" t="inlineStr">
        <is>
          <t>T010→P03</t>
        </is>
      </c>
      <c r="K38" s="4" t="inlineStr">
        <is>
          <t>负责人：ZCode
证据：未提供</t>
        </is>
      </c>
      <c r="L38" s="4" t="inlineStr">
        <is>
          <t>原01_代码审阅!A38:N38
https://github.com/candywang98/lamda-yun/blob/b394475c56a07b0ea660531222d182646e1c7e66/services/control-api/src/cloudctl_api/mobile_service.py</t>
        </is>
      </c>
    </row>
    <row r="39" ht="150" customHeight="1">
      <c r="A39" s="4" t="inlineStr">
        <is>
          <t>B034</t>
        </is>
      </c>
      <c r="B39" s="4" t="inlineStr">
        <is>
          <t>P1</t>
        </is>
      </c>
      <c r="C39" s="4" t="inlineStr">
        <is>
          <t>需求差距</t>
        </is>
      </c>
      <c r="D39" s="4" t="inlineStr">
        <is>
          <t>代码已修/待联调</t>
        </is>
      </c>
      <c r="E39" s="4" t="inlineStr">
        <is>
          <t>账号/绑定｜未保证同设备同平台仅一个当前账号</t>
        </is>
      </c>
      <c r="F39" s="4" t="inlineStr">
        <is>
          <t>bind_account_device只检查account/device配对，不查该设备同平台其它BOUND。</t>
        </is>
      </c>
      <c r="G39" s="4" t="inlineStr">
        <is>
          <t>同台设备先绑闲鱼甲再绑乙，检查两个是否均BOUND。</t>
        </is>
      </c>
      <c r="H39" s="4" t="inlineStr">
        <is>
          <t>事务锁设备；平台维度唯一活跃绑定；换绑递增bindingVersion并阻止旧任务自动跟随。</t>
        </is>
      </c>
      <c r="I39" s="4" t="inlineStr">
        <is>
          <t>闲鱼甲/乙不能同时BOUND；闲鱼+小红书可并存；历史保留甲。</t>
        </is>
      </c>
      <c r="J39" s="4" t="inlineStr">
        <is>
          <t>T010→P03；T011→P03</t>
        </is>
      </c>
      <c r="K39" s="4" t="inlineStr">
        <is>
          <t>负责人：ZCode
证据：2026-09-06 bind_account_device 事务锁设备；同平台挤掉旧 BOUND； 换绑失败旧 QUEUED 任务 ACCOUNT_CHANGED；ownership 接口保留甲历史。</t>
        </is>
      </c>
      <c r="L39" s="4" t="inlineStr">
        <is>
          <t>原01_代码审阅!A39:N39
https://github.com/candywang98/lamda-yun/blob/b394475c56a07b0ea660531222d182646e1c7e66/services/control-api/src/cloudctl_api/services.py
https://github.com/candywang98/lamda-yun/blob/b394475c56a07b0ea660531222d182646e1c7e66/services/control-api/src/cloudctl_api/db.py</t>
        </is>
      </c>
    </row>
    <row r="40" ht="150" customHeight="1">
      <c r="A40" s="4" t="inlineStr">
        <is>
          <t>B035</t>
        </is>
      </c>
      <c r="B40" s="4" t="inlineStr">
        <is>
          <t>P1</t>
        </is>
      </c>
      <c r="C40" s="4" t="inlineStr">
        <is>
          <t>待复现风险</t>
        </is>
      </c>
      <c r="D40" s="4" t="inlineStr">
        <is>
          <t>代码已修/待联调</t>
        </is>
      </c>
      <c r="E40" s="4" t="inlineStr">
        <is>
          <t>设备/身份｜同设备可存在多个活跃Companion实例</t>
        </is>
      </c>
      <c r="F40" s="4" t="inlineStr">
        <is>
          <t>mobile_binding唯一键device_id+app_instance_id；enroll未撤销其它实例。</t>
        </is>
      </c>
      <c r="G40" s="4" t="inlineStr">
        <is>
          <t>两个实例用不同enrollment绑定同一device；并发claim。</t>
        </is>
      </c>
      <c r="H40" s="4" t="inlineStr">
        <is>
          <t>一期每device一个active binding；重绑撤销旧token并抬高控制epoch。</t>
        </is>
      </c>
      <c r="I40" s="4" t="inlineStr">
        <is>
          <t>旧token无法领任务/远控；唯一活跃实例有DB约束。</t>
        </is>
      </c>
      <c r="J40" s="4" t="inlineStr">
        <is>
          <t>T007→P03</t>
        </is>
      </c>
      <c r="K40" s="4" t="inlineStr">
        <is>
          <t>负责人：ZCode
证据：未提供</t>
        </is>
      </c>
      <c r="L40" s="4" t="inlineStr">
        <is>
          <t>原01_代码审阅!A40:N40
https://github.com/candywang98/lamda-yun/blob/b394475c56a07b0ea660531222d182646e1c7e66/services/control-api/src/cloudctl_api/mobile_service.py
https://github.com/candywang98/lamda-yun/blob/b394475c56a07b0ea660531222d182646e1c7e66/services/control-api/src/cloudctl_api/db.py</t>
        </is>
      </c>
    </row>
    <row r="41" ht="150" customHeight="1">
      <c r="A41" s="4" t="inlineStr">
        <is>
          <t>B036</t>
        </is>
      </c>
      <c r="B41" s="4" t="inlineStr">
        <is>
          <t>P0</t>
        </is>
      </c>
      <c r="C41" s="4" t="inlineStr">
        <is>
          <t>待复现风险</t>
        </is>
      </c>
      <c r="D41" s="4" t="inlineStr">
        <is>
          <t>代码已修/待联调</t>
        </is>
      </c>
      <c r="E41" s="4" t="inlineStr">
        <is>
          <t>任务/互斥｜mobile claim缺设备级串行仲裁</t>
        </is>
      </c>
      <c r="F41" s="4" t="inlineStr">
        <is>
          <t>claim锁任务行，未先锁设备/统一DeviceLease；两个并发请求均可能先看到无active。</t>
        </is>
      </c>
      <c r="G41" s="4" t="inlineStr">
        <is>
          <t>Postgres并发2个claim，设备排队2任务，循环测试。</t>
        </is>
      </c>
      <c r="H41" s="4" t="inlineStr">
        <is>
          <t>先锁设备并取得统一fencing lease；再claim；所有执行路径共用同一仲裁。</t>
        </is>
      </c>
      <c r="I41" s="4" t="inlineStr">
        <is>
          <t>并发100次仅1个活跃writer；旧epoch后续动作被拒。</t>
        </is>
      </c>
      <c r="J41" s="4" t="inlineStr">
        <is>
          <t>T016→P08</t>
        </is>
      </c>
      <c r="K41" s="4" t="inlineStr">
        <is>
          <t>负责人：ZCode
证据：2026-09-06 claim 与 DeviceLease 共用 writer；暂停队头不越过；maintenance 拒绝 AUTO。</t>
        </is>
      </c>
      <c r="L41" s="4" t="inlineStr">
        <is>
          <t>原01_代码审阅!A41:N41
https://github.com/candywang98/lamda-yun/blob/b394475c56a07b0ea660531222d182646e1c7e66/services/control-api/src/cloudctl_api/mobile_service.py
https://github.com/candywang98/lamda-yun/blob/b394475c56a07b0ea660531222d182646e1c7e66/services/control-api/src/cloudctl_api/db.py</t>
        </is>
      </c>
    </row>
    <row r="42" ht="150" customHeight="1">
      <c r="A42" s="4" t="inlineStr">
        <is>
          <t>B037</t>
        </is>
      </c>
      <c r="B42" s="4" t="inlineStr">
        <is>
          <t>P1</t>
        </is>
      </c>
      <c r="C42" s="4" t="inlineStr">
        <is>
          <t>静态确认</t>
        </is>
      </c>
      <c r="D42" s="4" t="inlineStr">
        <is>
          <t>代码已修/待联调</t>
        </is>
      </c>
      <c r="E42" s="4" t="inlineStr">
        <is>
          <t>设备/维护｜mobile任务路径未检查maintenance</t>
        </is>
      </c>
      <c r="F42" s="4" t="inlineStr">
        <is>
          <t>_insert_task与claim读取device/任务但未应用set_maintenance的设备限制。</t>
        </is>
      </c>
      <c r="G42" s="4" t="inlineStr">
        <is>
          <t>设备设maintenance=true，再建/领mobile任务。</t>
        </is>
      </c>
      <c r="H42" s="4" t="inlineStr">
        <is>
          <t>维护模式阻止新AUTO执行；维护与lease变更使用同一事务；已有任务按暂停策略处理。</t>
        </is>
      </c>
      <c r="I42" s="4" t="inlineStr">
        <is>
          <t>维护中不能执行AUTO；退出后正常排队。</t>
        </is>
      </c>
      <c r="J42" s="4" t="inlineStr">
        <is>
          <t>T016→P08</t>
        </is>
      </c>
      <c r="K42" s="4" t="inlineStr">
        <is>
          <t>负责人：ZCode
证据：2026-09-06 claim 与 DeviceLease 共用 writer；暂停队头不越过；maintenance 拒绝 AUTO。</t>
        </is>
      </c>
      <c r="L42" s="4" t="inlineStr">
        <is>
          <t>原01_代码审阅!A42:N42
https://github.com/candywang98/lamda-yun/blob/b394475c56a07b0ea660531222d182646e1c7e66/services/control-api/src/cloudctl_api/mobile_service.py
https://github.com/candywang98/lamda-yun/blob/b394475c56a07b0ea660531222d182646e1c7e66/services/control-api/src/cloudctl_api/services.py</t>
        </is>
      </c>
    </row>
    <row r="43" ht="150" customHeight="1">
      <c r="A43" s="4" t="inlineStr">
        <is>
          <t>B038</t>
        </is>
      </c>
      <c r="B43" s="4" t="inlineStr">
        <is>
          <t>P1</t>
        </is>
      </c>
      <c r="C43" s="4" t="inlineStr">
        <is>
          <t>需求差距</t>
        </is>
      </c>
      <c r="D43" s="4" t="inlineStr">
        <is>
          <t>未处理</t>
        </is>
      </c>
      <c r="E43" s="4" t="inlineStr">
        <is>
          <t>视频｜现有是2秒截图，不是实时视频</t>
        </is>
      </c>
      <c r="F43" s="4" t="inlineStr">
        <is>
          <t>DeviceDetailView请求captureIntervalMs=2000，使用img/blob轮询；后端存image_bytes。</t>
        </is>
      </c>
      <c r="G43" s="4" t="inlineStr">
        <is>
          <t>打开远控页观察Network，没有实时媒体传输。</t>
        </is>
      </c>
      <c r="H43" s="4" t="inlineStr">
        <is>
          <t>MediaProjection+WebRTC媒体链路；公网TURN兜底；DB只存会话元数据。</t>
        </is>
      </c>
      <c r="I43" s="4" t="inlineStr">
        <is>
          <t>SIM真机连续视频与点击可用；不以提高截图频率冒充视频。</t>
        </is>
      </c>
      <c r="J43" s="4" t="inlineStr">
        <is>
          <t>T030→P10；T029→P10；T032→P10</t>
        </is>
      </c>
      <c r="K43" s="4" t="inlineStr">
        <is>
          <t>负责人：未填
证据：未提供</t>
        </is>
      </c>
      <c r="L43" s="4" t="inlineStr">
        <is>
          <t>原01_代码审阅!A43:N43
https://github.com/candywang98/lamda-yun/blob/b394475c56a07b0ea660531222d182646e1c7e66/apps/web/src/views/DeviceDetailView.vue
https://github.com/candywang98/lamda-yun/blob/b394475c56a07b0ea660531222d182646e1c7e66/services/control-api/src/cloudctl_api/mobile_service.py</t>
        </is>
      </c>
    </row>
    <row r="44" ht="150" customHeight="1">
      <c r="A44" s="4" t="inlineStr">
        <is>
          <t>B039</t>
        </is>
      </c>
      <c r="B44" s="4" t="inlineStr">
        <is>
          <t>P1</t>
        </is>
      </c>
      <c r="C44" s="4" t="inlineStr">
        <is>
          <t>待复现风险</t>
        </is>
      </c>
      <c r="D44" s="4" t="inlineStr">
        <is>
          <t>未处理</t>
        </is>
      </c>
      <c r="E44" s="4" t="inlineStr">
        <is>
          <t>视频/路由｜设备切换可能沿用旧预览session及迟到帧</t>
        </is>
      </c>
      <c r="F44" s="4" t="inlineStr">
        <is>
          <t>startPreview在已有session时return；watch设备id变化不先stop旧会话；poll用当前deviceId。</t>
        </is>
      </c>
      <c r="G44" s="4" t="inlineStr">
        <is>
          <t>A投屏中路由切B，延迟A响应；检查stop参数与显示画面。</t>
        </is>
      </c>
      <c r="H44" s="4" t="inlineStr">
        <is>
          <t>会话绑定immutable deviceId；路由切换取消请求/旧session；frame带deviceId+session epoch。</t>
        </is>
      </c>
      <c r="I44" s="4" t="inlineStr">
        <is>
          <t>A帧绝不显示在B设备页面，旧回调不关闭B会话。</t>
        </is>
      </c>
      <c r="J44" s="4" t="inlineStr">
        <is>
          <t>T032→P10</t>
        </is>
      </c>
      <c r="K44" s="4" t="inlineStr">
        <is>
          <t>负责人：未填
证据：未提供</t>
        </is>
      </c>
      <c r="L44" s="4" t="inlineStr">
        <is>
          <t>原01_代码审阅!A44:N44
https://github.com/candywang98/lamda-yun/blob/b394475c56a07b0ea660531222d182646e1c7e66/apps/web/src/views/DeviceDetailView.vue</t>
        </is>
      </c>
    </row>
    <row r="45" ht="150" customHeight="1">
      <c r="A45" s="4" t="inlineStr">
        <is>
          <t>B040</t>
        </is>
      </c>
      <c r="B45" s="4" t="inlineStr">
        <is>
          <t>P1</t>
        </is>
      </c>
      <c r="C45" s="4" t="inlineStr">
        <is>
          <t>静态确认</t>
        </is>
      </c>
      <c r="D45" s="4" t="inlineStr">
        <is>
          <t>代码已修/待联调</t>
        </is>
      </c>
      <c r="E45" s="4" t="inlineStr">
        <is>
          <t>Web/权限｜前端权限是SecurityAdmin开发桩</t>
        </is>
      </c>
      <c r="F45" s="4" t="inlineStr">
        <is>
          <t>session.ts固定user-local且can()总true。</t>
        </is>
      </c>
      <c r="G45" s="4" t="inlineStr">
        <is>
          <t>改角色或使用普通用户，观察按钮和权限判断。</t>
        </is>
      </c>
      <c r="H45" s="4" t="inlineStr">
        <is>
          <t>加载真实/me；dev桩仅dev；前端不替代后端鉴权。</t>
        </is>
      </c>
      <c r="I45" s="4" t="inlineStr">
        <is>
          <t>普通用户无远控/版本发布权限；直调API同样拒绝。</t>
        </is>
      </c>
      <c r="J45" s="4" t="inlineStr">
        <is>
          <t>T005→P02；T006→P02</t>
        </is>
      </c>
      <c r="K45" s="4" t="inlineStr">
        <is>
          <t>负责人：ZCode
证据：未提供</t>
        </is>
      </c>
      <c r="L45" s="4" t="inlineStr">
        <is>
          <t>原01_代码审阅!A45:N45
https://github.com/candywang98/lamda-yun/blob/b394475c56a07b0ea660531222d182646e1c7e66/apps/web/src/stores/session.ts</t>
        </is>
      </c>
    </row>
    <row r="46" ht="150" customHeight="1">
      <c r="A46" s="4" t="inlineStr">
        <is>
          <t>B041</t>
        </is>
      </c>
      <c r="B46" s="4" t="inlineStr">
        <is>
          <t>P1</t>
        </is>
      </c>
      <c r="C46" s="4" t="inlineStr">
        <is>
          <t>静态确认</t>
        </is>
      </c>
      <c r="D46" s="4" t="inlineStr">
        <is>
          <t>未处理</t>
        </is>
      </c>
      <c r="E46" s="4" t="inlineStr">
        <is>
          <t>发布/语义｜接口声称不点击发布但builder任务会直发</t>
        </is>
      </c>
      <c r="F46" s="4" t="inlineStr">
        <is>
          <t>dispatch_post_to_xianyu返回tapsPublish=False；调用build_text_publish_task默认auto_publish=True。</t>
        </is>
      </c>
      <c r="G46" s="4" t="inlineStr">
        <is>
          <t>检查生成steps是否含publish并比对响应。</t>
        </is>
      </c>
      <c r="H46" s="4" t="inlineStr">
        <is>
          <t>mode显式DIRECT/DRAFT/FORM_ONLY；返回行为与snapshot一致；不可逆动作走commit guard。</t>
        </is>
      </c>
      <c r="I46" s="4" t="inlineStr">
        <is>
          <t>DIRECT包含提交且响应一致；DRAFT保存草稿而非仅填表。</t>
        </is>
      </c>
      <c r="J46" s="4" t="inlineStr">
        <is>
          <t>T078→P28；T080→P28</t>
        </is>
      </c>
      <c r="K46" s="4" t="inlineStr">
        <is>
          <t>负责人：未填
证据：未提供</t>
        </is>
      </c>
      <c r="L46" s="4" t="inlineStr">
        <is>
          <t>原01_代码审阅!A46:N46
https://github.com/candywang98/lamda-yun/blob/b394475c56a07b0ea660531222d182646e1c7e66/services/control-api/src/cloudctl_api/services.py
https://github.com/candywang98/lamda-yun/blob/b394475c56a07b0ea660531222d182646e1c7e66/services/control-api/src/cloudctl_api/xianyu_publish.py</t>
        </is>
      </c>
    </row>
    <row r="47" ht="150" customHeight="1">
      <c r="A47" s="4" t="inlineStr">
        <is>
          <t>B042</t>
        </is>
      </c>
      <c r="B47" s="4" t="inlineStr">
        <is>
          <t>P1</t>
        </is>
      </c>
      <c r="C47" s="4" t="inlineStr">
        <is>
          <t>需求差距</t>
        </is>
      </c>
      <c r="D47" s="4" t="inlineStr">
        <is>
          <t>未处理</t>
        </is>
      </c>
      <c r="E47" s="4" t="inlineStr">
        <is>
          <t>统计｜采集宝贝信息页面仅本地记录</t>
        </is>
      </c>
      <c r="F47" s="4" t="inlineStr">
        <is>
          <t>ListingInfoCollectView创建时save/record并说明不会真实抓取。</t>
        </is>
      </c>
      <c r="G47" s="4" t="inlineStr">
        <is>
          <t>点击采集后查手机任务与指标数据库。</t>
        </is>
      </c>
      <c r="H47" s="4" t="inlineStr">
        <is>
          <t>统一collect命令+批次ingest+历史快照+Web查询。</t>
        </is>
      </c>
      <c r="I47" s="4" t="inlineStr">
        <is>
          <t>两次采集有两份时间点，null和0区分，结果可抽样核对。</t>
        </is>
      </c>
      <c r="J47" s="4" t="inlineStr">
        <is>
          <t>T109→P43；T111→P44；T112→P43</t>
        </is>
      </c>
      <c r="K47" s="4" t="inlineStr">
        <is>
          <t>负责人：未填
证据：未提供</t>
        </is>
      </c>
      <c r="L47" s="4" t="inlineStr">
        <is>
          <t>原01_代码审阅!A47:N47
https://github.com/candywang98/lamda-yun/blob/b394475c56a07b0ea660531222d182646e1c7e66/apps/web/src/views/ListingInfoCollectView.vue</t>
        </is>
      </c>
    </row>
    <row r="48" ht="150" customHeight="1">
      <c r="A48" s="4" t="inlineStr">
        <is>
          <t>B043</t>
        </is>
      </c>
      <c r="B48" s="4" t="inlineStr">
        <is>
          <t>P1</t>
        </is>
      </c>
      <c r="C48" s="4" t="inlineStr">
        <is>
          <t>需求差距</t>
        </is>
      </c>
      <c r="D48" s="4" t="inlineStr">
        <is>
          <t>未处理</t>
        </is>
      </c>
      <c r="E48" s="4" t="inlineStr">
        <is>
          <t>水印｜水印配置/历史只存本机浏览器</t>
        </is>
      </c>
      <c r="F48" s="4" t="inlineStr">
        <is>
          <t>PostWatermarkView.saveConfig调用本地save/pushHistory，成功文字为本机浏览器。</t>
        </is>
      </c>
      <c r="G48" s="4" t="inlineStr">
        <is>
          <t>A存水印，B查询；检查真实任务是否引用水印后素材。</t>
        </is>
      </c>
      <c r="H48" s="4" t="inlineStr">
        <is>
          <t>持久化WatermarkProfile修订与Derivative资产；任务固定profileRevision/outputAssetId。</t>
        </is>
      </c>
      <c r="I48" s="4" t="inlineStr">
        <is>
          <t>跨浏览器一致，变更不影响旧任务，原图保留。</t>
        </is>
      </c>
      <c r="J48" s="4" t="inlineStr">
        <is>
          <t>T051→P19；T052→P19；T053→P19</t>
        </is>
      </c>
      <c r="K48" s="4" t="inlineStr">
        <is>
          <t>负责人：未填
证据：未提供</t>
        </is>
      </c>
      <c r="L48" s="4" t="inlineStr">
        <is>
          <t>原01_代码审阅!A48:N48
https://github.com/candywang98/lamda-yun/blob/b394475c56a07b0ea660531222d182646e1c7e66/apps/web/src/views/PostWatermarkView.vue</t>
        </is>
      </c>
    </row>
    <row r="49" ht="150" customHeight="1">
      <c r="A49" s="4" t="inlineStr">
        <is>
          <t>B044</t>
        </is>
      </c>
      <c r="B49" s="4" t="inlineStr">
        <is>
          <t>P1</t>
        </is>
      </c>
      <c r="C49" s="4" t="inlineStr">
        <is>
          <t>需求差距</t>
        </is>
      </c>
      <c r="D49" s="4" t="inlineStr">
        <is>
          <t>未处理</t>
        </is>
      </c>
      <c r="E49" s="4" t="inlineStr">
        <is>
          <t>资源池｜池后端与任务快照消费链尚需补齐</t>
        </is>
      </c>
      <c r="F49" s="4" t="inlineStr">
        <is>
          <t>现有任务配置以地址池一至六等文本选项表示，无稳定poolId/itemId契约。</t>
        </is>
      </c>
      <c r="G49" s="4" t="inlineStr">
        <is>
          <t>不同浏览器改池后比较配置；检查任务是否记录真实选中项。</t>
        </is>
      </c>
      <c r="H49" s="4" t="inlineStr">
        <is>
          <t>统一ResourcePool/PoolItem/DevicePoolBinding；创建任务记录实际选中值与版本。</t>
        </is>
      </c>
      <c r="I49" s="4" t="inlineStr">
        <is>
          <t>跨端一致；旧任务不因池编辑变化；缺池明确报错。</t>
        </is>
      </c>
      <c r="J49" s="4" t="inlineStr">
        <is>
          <t>T054→P20；T055→P20；T056→P20；T057→P20</t>
        </is>
      </c>
      <c r="K49" s="4" t="inlineStr">
        <is>
          <t>负责人：未填
证据：未提供</t>
        </is>
      </c>
      <c r="L49" s="4" t="inlineStr">
        <is>
          <t>原01_代码审阅!A49:N49
https://github.com/candywang98/lamda-yun/blob/b394475c56a07b0ea660531222d182646e1c7e66/apps/web/src/data/xianyu-extra-tasks.ts
https://github.com/candywang98/lamda-yun/blob/b394475c56a07b0ea660531222d182646e1c7e66/apps/web/src/data/xianyu-publish-goods.ts</t>
        </is>
      </c>
    </row>
    <row r="50" ht="150" customHeight="1">
      <c r="A50" s="4" t="inlineStr">
        <is>
          <t>B045</t>
        </is>
      </c>
      <c r="B50" s="4" t="inlineStr">
        <is>
          <t>P1</t>
        </is>
      </c>
      <c r="C50" s="4" t="inlineStr">
        <is>
          <t>需求差距</t>
        </is>
      </c>
      <c r="D50" s="4" t="inlineStr">
        <is>
          <t>未处理</t>
        </is>
      </c>
      <c r="E50" s="4" t="inlineStr">
        <is>
          <t>订单｜已读移动/API链路未形成订单同步闭环</t>
        </is>
      </c>
      <c r="F50" s="4" t="inlineStr">
        <is>
          <t>operations有同步闲鱼订单入口；本轮已读mobile routes/schema无订单batch结果；全库仍需检索。</t>
        </is>
      </c>
      <c r="G50" s="4" t="inlineStr">
        <is>
          <t>在T001真实仓库搜索Order/SyncRun/ingest并实测页面入口。</t>
        </is>
      </c>
      <c r="H50" s="4" t="inlineStr">
        <is>
          <t>先复用发现的领域代码，否则新增同步run、订单upsert、APK采集与分页管理页。</t>
        </is>
      </c>
      <c r="I50" s="4" t="inlineStr">
        <is>
          <t>默认全部/指定N、重复同步幂等、状态历史及错误可追踪。</t>
        </is>
      </c>
      <c r="J50" s="4" t="inlineStr">
        <is>
          <t>T105→P41；T106→P41；T107→P42；T108→P41</t>
        </is>
      </c>
      <c r="K50" s="4" t="inlineStr">
        <is>
          <t>负责人：未填
证据：未提供</t>
        </is>
      </c>
      <c r="L50" s="4" t="inlineStr">
        <is>
          <t>原01_代码审阅!A50:N50
https://github.com/candywang98/lamda-yun/blob/b394475c56a07b0ea660531222d182646e1c7e66/apps/web/src/data/operations-catalog.ts
https://github.com/candywang98/lamda-yun/blob/b394475c56a07b0ea660531222d182646e1c7e66/services/control-api/src/cloudctl_api/mobile_routes.py
https://github.com/candywang98/lamda-yun/blob/b394475c56a07b0ea660531222d182646e1c7e66/services/control-api/src/cloudctl_api/mobile_schemas.py</t>
        </is>
      </c>
    </row>
    <row r="51" ht="150" customHeight="1">
      <c r="A51" s="4" t="inlineStr">
        <is>
          <t>B046</t>
        </is>
      </c>
      <c r="B51" s="4" t="inlineStr">
        <is>
          <t>P1</t>
        </is>
      </c>
      <c r="C51" s="4" t="inlineStr">
        <is>
          <t>需求差距</t>
        </is>
      </c>
      <c r="D51" s="4" t="inlineStr">
        <is>
          <t>代码已修/待联调</t>
        </is>
      </c>
      <c r="E51" s="4" t="inlineStr">
        <is>
          <t>定时｜现有授权任务表单仅“立即执行”选项</t>
        </is>
      </c>
      <c r="F51" s="4" t="inlineStr">
        <is>
          <t>XianyuSimple/Extra/PostPublish的schedule select只有立即执行；创建还是本地。</t>
        </is>
      </c>
      <c r="G51" s="4" t="inlineStr">
        <is>
          <t>打开定时选择器、检查持久化计划与后端触发。</t>
        </is>
      </c>
      <c r="H51" s="4" t="inlineStr">
        <is>
          <t>复用Temporal+outbox新增预约/周期定义与独立任务生成；重复触发去重。</t>
        </is>
      </c>
      <c r="I51" s="4" t="inlineStr">
        <is>
          <t>时区/错过触发/重复消息/离线均有定义与测试。</t>
        </is>
      </c>
      <c r="J51" s="4" t="inlineStr">
        <is>
          <t>T017→P06；T018→P06</t>
        </is>
      </c>
      <c r="K51" s="4" t="inlineStr">
        <is>
          <t>负责人：ZCode
证据：2026-09-07 预约/周期走 task-schedules，前端统一 ScheduleEditor。</t>
        </is>
      </c>
      <c r="L51" s="4" t="inlineStr">
        <is>
          <t>原01_代码审阅!A51:N51
https://github.com/candywang98/lamda-yun/blob/b394475c56a07b0ea660531222d182646e1c7e66/apps/web/src/views/XianyuSimpleTaskView.vue
https://github.com/candywang98/lamda-yun/blob/b394475c56a07b0ea660531222d182646e1c7e66/apps/web/src/views/XianyuExtraTaskView.vue
https://github.com/candywang98/lamda-yun/blob/b394475c56a07b0ea660531222d182646e1c7e66/apps/web/src/views/PostPublishView.vue</t>
        </is>
      </c>
    </row>
    <row r="52" ht="150" customHeight="1">
      <c r="A52" s="4" t="inlineStr">
        <is>
          <t>B047</t>
        </is>
      </c>
      <c r="B52" s="4" t="inlineStr">
        <is>
          <t>P1</t>
        </is>
      </c>
      <c r="C52" s="4" t="inlineStr">
        <is>
          <t>需求差距</t>
        </is>
      </c>
      <c r="D52" s="4" t="inlineStr">
        <is>
          <t>未处理</t>
        </is>
      </c>
      <c r="E52" s="4" t="inlineStr">
        <is>
          <t>远控｜自动化allowlist不能直接当全手机远控规则</t>
        </is>
      </c>
      <c r="F52" s="4" t="inlineStr">
        <is>
          <t>ensureReady只允许Companion/闲鱼，但用户要操作手机其它页面。</t>
        </is>
      </c>
      <c r="G52" s="4" t="inlineStr">
        <is>
          <t>想从网页点Home/打开其它App，现有接口无能力。</t>
        </is>
      </c>
      <c r="H52" s="4" t="inlineStr">
        <is>
          <t>自动化仍按平台allowlist；人工REMOTE会话独立授权坐标/系统导航，不开放shell。</t>
        </is>
      </c>
      <c r="I52" s="4" t="inlineStr">
        <is>
          <t>可人工操作桌面；未持REMOTE lease一律拒绝写动作。</t>
        </is>
      </c>
      <c r="J52" s="4" t="inlineStr">
        <is>
          <t>T034→P11；T035→P11；T036→P11</t>
        </is>
      </c>
      <c r="K52" s="4" t="inlineStr">
        <is>
          <t>负责人：未填
证据：未提供</t>
        </is>
      </c>
      <c r="L52" s="4" t="inlineStr">
        <is>
          <t>原01_代码审阅!A52:N52
https://github.com/candywang98/lamda-yun/blob/b394475c56a07b0ea660531222d182646e1c7e66/mobile/companion/app/src/main/java/com/company/cloudctl/companion/automation/CloudCtlAccessibilityService.kt
https://github.com/candywang98/lamda-yun/blob/b394475c56a07b0ea660531222d182646e1c7e66/apps/web/src/views/DeviceDetailView.vue</t>
        </is>
      </c>
    </row>
    <row r="53" ht="150" customHeight="1">
      <c r="A53" s="4" t="inlineStr">
        <is>
          <t>B048</t>
        </is>
      </c>
      <c r="B53" s="4" t="inlineStr">
        <is>
          <t>P1</t>
        </is>
      </c>
      <c r="C53" s="4" t="inlineStr">
        <is>
          <t>需求差距</t>
        </is>
      </c>
      <c r="D53" s="4" t="inlineStr">
        <is>
          <t>未处理</t>
        </is>
      </c>
      <c r="E53" s="4" t="inlineStr">
        <is>
          <t>兼容｜APK安装门槛与截图能力门槛不同</t>
        </is>
      </c>
      <c r="F53" s="4" t="inlineStr">
        <is>
          <t>build.gradle minSdk=29；无障碍takeScreenshot需更高系统能力，不能将可安装等同可投屏。</t>
        </is>
      </c>
      <c r="G53" s="4" t="inlineStr">
        <is>
          <t>在实际Note9上读取SDK，测试现有截屏路径。</t>
        </is>
      </c>
      <c r="H53" s="4" t="inlineStr">
        <is>
          <t>保持实际设备基线；MediaProjection实现视频，不靠SDK30截图硬门禁；能力分别探测。</t>
        </is>
      </c>
      <c r="I53" s="4" t="inlineStr">
        <is>
          <t>设备报告安装/视频/控制/输入能力各自结果。</t>
        </is>
      </c>
      <c r="J53" s="4" t="inlineStr">
        <is>
          <t>T008→P04；T030→P10</t>
        </is>
      </c>
      <c r="K53" s="4" t="inlineStr">
        <is>
          <t>负责人：未填
证据：2026-09-06 当前 ADB 设备是 OnePlus 9R SDK34，不是红米 Note9。 Companion minSdk=29 已安装。截图/投屏能力仍待 MediaProjection 联调。</t>
        </is>
      </c>
      <c r="L53" s="4" t="inlineStr">
        <is>
          <t>原01_代码审阅!A53:N53
https://github.com/candywang98/lamda-yun/blob/b394475c56a07b0ea660531222d182646e1c7e66/mobile/companion/app/build.gradle.kts
https://github.com/candywang98/lamda-yun/blob/b394475c56a07b0ea660531222d182646e1c7e66/mobile/companion/app/src/main/java/com/company/cloudctl/companion/automation/CloudCtlAccessibilityService.kt
https://developer.android.com/media/grow/media-projection</t>
        </is>
      </c>
    </row>
    <row r="54" ht="150" customHeight="1">
      <c r="A54" s="4" t="inlineStr">
        <is>
          <t>B049</t>
        </is>
      </c>
      <c r="B54" s="4" t="inlineStr">
        <is>
          <t>P1</t>
        </is>
      </c>
      <c r="C54" s="4" t="inlineStr">
        <is>
          <t>待验证约束</t>
        </is>
      </c>
      <c r="D54" s="4" t="inlineStr">
        <is>
          <t>未处理</t>
        </is>
      </c>
      <c r="E54" s="4" t="inlineStr">
        <is>
          <t>视频/授权｜不能承诺进程重启后无感恢复投屏授权</t>
        </is>
      </c>
      <c r="F54" s="4" t="inlineStr">
        <is>
          <t>Android官方要求每个MediaProjection会话取得用户同意，token不可复用。</t>
        </is>
      </c>
      <c r="G54" s="4" t="inlineStr">
        <is>
          <t>授权后停止capture/重启进程，再试旧token。</t>
        </is>
      </c>
      <c r="H54" s="4" t="inlineStr">
        <is>
          <t>区分浏览器断线和采集会话终止；前者重连同采集，后者显示NEEDS_LOCAL_CONSENT。</t>
        </is>
      </c>
      <c r="I54" s="4" t="inlineStr">
        <is>
          <t>拒绝/撤销授权不崩溃；不自动点击系统授权绕过同意。</t>
        </is>
      </c>
      <c r="J54" s="4" t="inlineStr">
        <is>
          <t>T030→P10；T033→P12</t>
        </is>
      </c>
      <c r="K54" s="4" t="inlineStr">
        <is>
          <t>负责人：未填
证据：未提供</t>
        </is>
      </c>
      <c r="L54" s="4" t="inlineStr">
        <is>
          <t>原01_代码审阅!A54:N54
https://developer.android.com/media/grow/media-projection
https://developer.android.com/develop/background-work/services/fgs/service-types</t>
        </is>
      </c>
    </row>
    <row r="55" ht="150" customHeight="1">
      <c r="A55" s="4" t="inlineStr">
        <is>
          <t>B050</t>
        </is>
      </c>
      <c r="B55" s="4" t="inlineStr">
        <is>
          <t>P1</t>
        </is>
      </c>
      <c r="C55" s="4" t="inlineStr">
        <is>
          <t>待验证约束</t>
        </is>
      </c>
      <c r="D55" s="4" t="inlineStr">
        <is>
          <t>未处理</t>
        </is>
      </c>
      <c r="E55" s="4" t="inlineStr">
        <is>
          <t>剪贴板｜普通后台App不能任意读系统剪贴板</t>
        </is>
      </c>
      <c r="F55" s="4" t="inlineStr">
        <is>
          <t>Android10+限制后台剪贴板读取；用户需要复制粘贴不能仅承诺无条件双向同步。</t>
        </is>
      </c>
      <c r="G55" s="4" t="inlineStr">
        <is>
          <t>在闲鱼前台、Companion后台读取剪贴板测试。</t>
        </is>
      </c>
      <c r="H55" s="4" t="inlineStr">
        <is>
          <t>远控文本以ACTION_SET_TEXT为主；自定义IME需用户启用；提供手动分享/粘贴通道并声明能力。</t>
        </is>
      </c>
      <c r="I55" s="4" t="inlineStr">
        <is>
          <t>受支持路径完成中文输入与复制；无权读取显示不可用，不返回假空成功。</t>
        </is>
      </c>
      <c r="J55" s="4" t="inlineStr">
        <is>
          <t>T037→P11</t>
        </is>
      </c>
      <c r="K55" s="4" t="inlineStr">
        <is>
          <t>负责人：未填
证据：未提供</t>
        </is>
      </c>
      <c r="L55" s="4" t="inlineStr">
        <is>
          <t>原01_代码审阅!A55:N55
https://developer.android.com/about/versions/10/privacy/changes#clipboard-data</t>
        </is>
      </c>
    </row>
    <row r="56" ht="150" customHeight="1">
      <c r="A56" s="4" t="inlineStr">
        <is>
          <t>B051</t>
        </is>
      </c>
      <c r="B56" s="4" t="inlineStr">
        <is>
          <t>P1</t>
        </is>
      </c>
      <c r="C56" s="4" t="inlineStr">
        <is>
          <t>待验证约束</t>
        </is>
      </c>
      <c r="D56" s="4" t="inlineStr">
        <is>
          <t>未处理</t>
        </is>
      </c>
      <c r="E56" s="4" t="inlineStr">
        <is>
          <t>APK更新｜后台发布APK不等于系统允许静默安装</t>
        </is>
      </c>
      <c r="F56" s="4" t="inlineStr">
        <is>
          <t>PackageInstaller可能要求STATUS_PENDING_USER_ACTION；未确认Device Owner。</t>
        </is>
      </c>
      <c r="G56" s="4" t="inlineStr">
        <is>
          <t>在个人普通手机安装新APK，记录回调。</t>
        </is>
      </c>
      <c r="H56" s="4" t="inlineStr">
        <is>
          <t>验签下载+系统安装器+用户确认；业务后台发布和安装确认分离；热Recipe更新不冒充APK更新。</t>
        </is>
      </c>
      <c r="I56" s="4" t="inlineStr">
        <is>
          <t>签名错误拒绝；需确认显示状态；旧版本任务与数据可恢复。</t>
        </is>
      </c>
      <c r="J56" s="4" t="inlineStr">
        <is>
          <t>T043→P15</t>
        </is>
      </c>
      <c r="K56" s="4" t="inlineStr">
        <is>
          <t>负责人：未填
证据：未提供</t>
        </is>
      </c>
      <c r="L56" s="4" t="inlineStr">
        <is>
          <t>原01_代码审阅!A56:N56
https://developer.android.com/reference/android/content/pm/PackageInstaller.SessionParams#setRequireUserAction(int)
https://github.com/candywang98/lamda-yun/blob/b394475c56a07b0ea660531222d182646e1c7e66/mobile/companion/app/build.gradle.kts</t>
        </is>
      </c>
    </row>
    <row r="57" ht="150" customHeight="1">
      <c r="A57" s="4" t="inlineStr">
        <is>
          <t>B052</t>
        </is>
      </c>
      <c r="B57" s="4" t="inlineStr">
        <is>
          <t>P1</t>
        </is>
      </c>
      <c r="C57" s="4" t="inlineStr">
        <is>
          <t>需求差距</t>
        </is>
      </c>
      <c r="D57" s="4" t="inlineStr">
        <is>
          <t>代码已修/待联调</t>
        </is>
      </c>
      <c r="E57" s="4" t="inlineStr">
        <is>
          <t>Recipe发布｜已有自动化包管理需接到Companion本地版本生命周期</t>
        </is>
      </c>
      <c r="F57" s="4" t="inlineStr">
        <is>
          <t>services.py已有register_automation/签名/promotion；本地执行仍以固定step+locator为主。</t>
        </is>
      </c>
      <c r="G57" s="4" t="inlineStr">
        <is>
          <t>发布一个新包，验证目标Companion是否下载/验签/激活/上报版本。</t>
        </is>
      </c>
      <c r="H57" s="4" t="inlineStr">
        <is>
          <t>复用已有包/签名/审批模型；补phone recipe manifest与手动发布、兼容验证和回退。</t>
        </is>
      </c>
      <c r="I57" s="4" t="inlineStr">
        <is>
          <t>未点击发布不生效；运行中固定旧版本；篡改包拒绝。</t>
        </is>
      </c>
      <c r="J57" s="4" t="inlineStr">
        <is>
          <t>T019→P07；T040→P14；T041→P14；T042→P14</t>
        </is>
      </c>
      <c r="K57" s="4" t="inlineStr">
        <is>
          <t>负责人：ZCode
证据：2026-09-07 Companion 生命周期/outbox/checkpoint/防重 journal 已落地；真机证据待联调。</t>
        </is>
      </c>
      <c r="L57" s="4" t="inlineStr">
        <is>
          <t>原01_代码审阅!A57:N57
https://github.com/candywang98/lamda-yun/blob/b394475c56a07b0ea660531222d182646e1c7e66/services/control-api/src/cloudctl_api/services.py
https://github.com/candywang98/lamda-yun/blob/b394475c56a07b0ea660531222d182646e1c7e66/mobile/companion/app/src/main/java/com/company/cloudctl/companion/automation/LocalAutomationExecutor.kt
https://github.com/candywang98/lamda-yun/blob/b394475c56a07b0ea660531222d182646e1c7e66/mobile/companion/app/src/main/java/com/company/cloudctl/companion/automation/TargetLocatorRegistry.kt</t>
        </is>
      </c>
    </row>
    <row r="58" ht="150" customHeight="1">
      <c r="A58" s="4" t="inlineStr">
        <is>
          <t>B053</t>
        </is>
      </c>
      <c r="B58" s="4" t="inlineStr">
        <is>
          <t>P1</t>
        </is>
      </c>
      <c r="C58" s="4" t="inlineStr">
        <is>
          <t>需求差距</t>
        </is>
      </c>
      <c r="D58" s="4" t="inlineStr">
        <is>
          <t>代码已修/待联调</t>
        </is>
      </c>
      <c r="E58" s="4" t="inlineStr">
        <is>
          <t>闲鱼/范围｜目录blocked/已下线文案不能当真实功能验收</t>
        </is>
      </c>
      <c r="F58" s="4" t="inlineStr">
        <is>
          <t>operations blockedTerms含签到/抵扣/推广/好评；PostPublish声称闲鱼帖子已下线，未真机验证。</t>
        </is>
      </c>
      <c r="G58" s="4" t="inlineStr">
        <is>
          <t>核对31个闲鱼目录项并在实际App探测相关入口。</t>
        </is>
      </c>
      <c r="H58" s="4" t="inlineStr">
        <is>
          <t>已确认范围逐项实现；发布/删除帖子先做可用性验证；不存在则记录NOT_SUPPORTED证据，不静默剔除或假成功。</t>
        </is>
      </c>
      <c r="I58" s="4" t="inlineStr">
        <is>
          <t>31项都有实现任务或可验证受阻原因。</t>
        </is>
      </c>
      <c r="J58" s="4" t="inlineStr">
        <is>
          <t>T004→P01；T102→P39</t>
        </is>
      </c>
      <c r="K58" s="4" t="inlineStr">
        <is>
          <t>负责人：ZCode
证据：未提供</t>
        </is>
      </c>
      <c r="L58" s="4" t="inlineStr">
        <is>
          <t>原01_代码审阅!A58:N58
https://github.com/candywang98/lamda-yun/blob/b394475c56a07b0ea660531222d182646e1c7e66/apps/web/src/data/operations-catalog.ts
https://github.com/candywang98/lamda-yun/blob/b394475c56a07b0ea660531222d182646e1c7e66/apps/web/src/views/PostPublishView.vue</t>
        </is>
      </c>
    </row>
    <row r="59" ht="150" customHeight="1">
      <c r="A59" s="4" t="inlineStr">
        <is>
          <t>B054</t>
        </is>
      </c>
      <c r="B59" s="4" t="inlineStr">
        <is>
          <t>P1</t>
        </is>
      </c>
      <c r="C59" s="4" t="inlineStr">
        <is>
          <t>待复现风险</t>
        </is>
      </c>
      <c r="D59" s="4" t="inlineStr">
        <is>
          <t>未处理</t>
        </is>
      </c>
      <c r="E59" s="4" t="inlineStr">
        <is>
          <t>任务/重领｜租约过期直接回排队缺外部提交核对</t>
        </is>
      </c>
      <c r="F59" s="4" t="inlineStr">
        <is>
          <t>mobile claim把过期active改QUEUED；旧终态有本地防重，但进程/实例切换与未知提交结果仍需核对。</t>
        </is>
      </c>
      <c r="G59" s="4" t="inlineStr">
        <is>
          <t>发布点击后断网且租约过期，换实例或恢复领取。</t>
        </is>
      </c>
      <c r="H59" s="4" t="inlineStr">
        <is>
          <t>副作用前持久化commit intent；不确定结果进RECONCILING，禁止盲目再次点击发布/付款/删除。</t>
        </is>
      </c>
      <c r="I59" s="4" t="inlineStr">
        <is>
          <t>故障注入下无自动重复提交；无法判断时等待人工。</t>
        </is>
      </c>
      <c r="J59" s="4" t="inlineStr">
        <is>
          <t>T024→P09；T025→P09</t>
        </is>
      </c>
      <c r="K59" s="4" t="inlineStr">
        <is>
          <t>负责人：未填
证据：未提供</t>
        </is>
      </c>
      <c r="L59" s="4" t="inlineStr">
        <is>
          <t>原01_代码审阅!A59:N59
https://github.com/candywang98/lamda-yun/blob/b394475c56a07b0ea660531222d182646e1c7e66/services/control-api/src/cloudctl_api/mobile_service.py
https://github.com/candywang98/lamda-yun/blob/b394475c56a07b0ea660531222d182646e1c7e66/mobile/companion/app/src/main/java/com/company/cloudctl/companion/data/AutomationStore.kt</t>
        </is>
      </c>
    </row>
    <row r="60" ht="150" customHeight="1">
      <c r="A60" s="4" t="inlineStr">
        <is>
          <t>B055</t>
        </is>
      </c>
      <c r="B60" s="4" t="inlineStr">
        <is>
          <t>P1</t>
        </is>
      </c>
      <c r="C60" s="4" t="inlineStr">
        <is>
          <t>待复现风险</t>
        </is>
      </c>
      <c r="D60" s="4" t="inlineStr">
        <is>
          <t>未处理</t>
        </is>
      </c>
      <c r="E60" s="4" t="inlineStr">
        <is>
          <t>帖子/并发｜revision_no分配缺显式并发锁/前置版本条件</t>
        </is>
      </c>
      <c r="F60" s="4" t="inlineStr">
        <is>
          <t>add_revision读取next_revision_no后insert，函数内未锁ContentItem或接expectedRevision。</t>
        </is>
      </c>
      <c r="G60" s="4" t="inlineStr">
        <is>
          <t>两个请求并发给同content追加revision，检查冲突/500/覆盖。</t>
        </is>
      </c>
      <c r="H60" s="4" t="inlineStr">
        <is>
          <t>锁content或乐观compare-and-swap；409业务冲突，不暴露IntegrityError。</t>
        </is>
      </c>
      <c r="I60" s="4" t="inlineStr">
        <is>
          <t>并发只有一次有效提交，revision连续且API返回稳定。</t>
        </is>
      </c>
      <c r="J60" s="4" t="inlineStr">
        <is>
          <t>T067→P24</t>
        </is>
      </c>
      <c r="K60" s="4" t="inlineStr">
        <is>
          <t>负责人：未填
证据：未提供</t>
        </is>
      </c>
      <c r="L60" s="4" t="inlineStr">
        <is>
          <t>原01_代码审阅!A60:N60
https://github.com/candywang98/lamda-yun/blob/b394475c56a07b0ea660531222d182646e1c7e66/services/control-api/src/cloudctl_api/services.py</t>
        </is>
      </c>
    </row>
    <row r="61" ht="150" customHeight="1">
      <c r="A61" s="4" t="inlineStr">
        <is>
          <t>B056</t>
        </is>
      </c>
      <c r="B61" s="4" t="inlineStr">
        <is>
          <t>P1</t>
        </is>
      </c>
      <c r="C61" s="4" t="inlineStr">
        <is>
          <t>待复现风险</t>
        </is>
      </c>
      <c r="D61" s="4" t="inlineStr">
        <is>
          <t>未处理</t>
        </is>
      </c>
      <c r="E61" s="4" t="inlineStr">
        <is>
          <t>商品/并发｜批量改价缺版本条件和行锁</t>
        </is>
      </c>
      <c r="F61" s="4" t="inlineStr">
        <is>
          <t>batch_update_product_price查询后更新price/revision，未用expectedRevision或with_for_update。</t>
        </is>
      </c>
      <c r="G61" s="4" t="inlineStr">
        <is>
          <t>单项编辑与批量改价并发，比较最终price/revision。</t>
        </is>
      </c>
      <c r="H61" s="4" t="inlineStr">
        <is>
          <t>按id固定顺序锁行并校验预期版本；定义冲突后整批回滚。</t>
        </is>
      </c>
      <c r="I61" s="4" t="inlineStr">
        <is>
          <t>无丢失更新/重复revision；冲突返回逐项诊断。</t>
        </is>
      </c>
      <c r="J61" s="4" t="inlineStr">
        <is>
          <t>T059→P21</t>
        </is>
      </c>
      <c r="K61" s="4" t="inlineStr">
        <is>
          <t>负责人：未填
证据：未提供</t>
        </is>
      </c>
      <c r="L61" s="4" t="inlineStr">
        <is>
          <t>原01_代码审阅!A61:N61
https://github.com/candywang98/lamda-yun/blob/b394475c56a07b0ea660531222d182646e1c7e66/services/control-api/src/cloudctl_api/services.py</t>
        </is>
      </c>
    </row>
    <row r="62" ht="150" customHeight="1">
      <c r="A62" s="4" t="inlineStr">
        <is>
          <t>B057</t>
        </is>
      </c>
      <c r="B62" s="4" t="inlineStr">
        <is>
          <t>P2</t>
        </is>
      </c>
      <c r="C62" s="4" t="inlineStr">
        <is>
          <t>静态确认</t>
        </is>
      </c>
      <c r="D62" s="4" t="inlineStr">
        <is>
          <t>未处理</t>
        </is>
      </c>
      <c r="E62" s="4" t="inlineStr">
        <is>
          <t>导入/媒体｜同名文件按basename匹配可能串图</t>
        </is>
      </c>
      <c r="F62" s="4" t="inlineStr">
        <is>
          <t>ProductImportView将目录文件以file.name为字典key；不同子目录同名会覆盖。</t>
        </is>
      </c>
      <c r="G62" s="4" t="inlineStr">
        <is>
          <t>a/1.jpg与b/1.jpg同时导入且对应不同商品。</t>
        </is>
      </c>
      <c r="H62" s="4" t="inlineStr">
        <is>
          <t>使用规范化相对路径；重名不能确定时要求映射，禁止最后一个覆盖。</t>
        </is>
      </c>
      <c r="I62" s="4" t="inlineStr">
        <is>
          <t>两商品关联正确文件hash；缺图不标完整导入成功。</t>
        </is>
      </c>
      <c r="J62" s="4" t="inlineStr">
        <is>
          <t>T065→P22</t>
        </is>
      </c>
      <c r="K62" s="4" t="inlineStr">
        <is>
          <t>负责人：未填
证据：未提供</t>
        </is>
      </c>
      <c r="L62" s="4" t="inlineStr">
        <is>
          <t>原01_代码审阅!A62:N62
https://github.com/candywang98/lamda-yun/blob/b394475c56a07b0ea660531222d182646e1c7e66/apps/web/src/views/ProductImportView.vue</t>
        </is>
      </c>
    </row>
    <row r="63" ht="150" customHeight="1">
      <c r="A63" s="4" t="inlineStr">
        <is>
          <t>B058</t>
        </is>
      </c>
      <c r="B63" s="4" t="inlineStr">
        <is>
          <t>P1</t>
        </is>
      </c>
      <c r="C63" s="4" t="inlineStr">
        <is>
          <t>待复现风险</t>
        </is>
      </c>
      <c r="D63" s="4" t="inlineStr">
        <is>
          <t>未处理</t>
        </is>
      </c>
      <c r="E63" s="4" t="inlineStr">
        <is>
          <t>导出/安全｜CSV未处理以公式字符开头的用户字段</t>
        </is>
      </c>
      <c r="F63" s="4" t="inlineStr">
        <is>
          <t>XianyuPublishGoodsView.exportCsv仅双引号转义；标题/描述可为用户输入。</t>
        </is>
      </c>
      <c r="G63" s="4" t="inlineStr">
        <is>
          <t>标题以=、+、-、@开头后导出，用安全测试表格验证是否被当公式。</t>
        </is>
      </c>
      <c r="H63" s="4" t="inlineStr">
        <is>
          <t>统一CSV文本安全编码；下载文件不执行公式；不改变数据库原文。</t>
        </is>
      </c>
      <c r="I63" s="4" t="inlineStr">
        <is>
          <t>恶意公式按纯文本打开；引号、换行、中文正确。</t>
        </is>
      </c>
      <c r="J63" s="4" t="inlineStr">
        <is>
          <t>T070→P22</t>
        </is>
      </c>
      <c r="K63" s="4" t="inlineStr">
        <is>
          <t>负责人：未填
证据：未提供</t>
        </is>
      </c>
      <c r="L63" s="4" t="inlineStr">
        <is>
          <t>原01_代码审阅!A63:N63
https://github.com/candywang98/lamda-yun/blob/b394475c56a07b0ea660531222d182646e1c7e66/apps/web/src/views/XianyuPublishGoodsView.vue</t>
        </is>
      </c>
    </row>
    <row r="64" ht="150" customHeight="1">
      <c r="A64" s="4" t="inlineStr">
        <is>
          <t>B059</t>
        </is>
      </c>
      <c r="B64" s="4" t="inlineStr">
        <is>
          <t>P2</t>
        </is>
      </c>
      <c r="C64" s="4" t="inlineStr">
        <is>
          <t>静态确认</t>
        </is>
      </c>
      <c r="D64" s="4" t="inlineStr">
        <is>
          <t>代码已修/待联调</t>
        </is>
      </c>
      <c r="E64" s="4" t="inlineStr">
        <is>
          <t>任务/历史｜任务列表固定最多200条且无翻页</t>
        </is>
      </c>
      <c r="F64" s="4" t="inlineStr">
        <is>
          <t>mobile_service.list_tasks order_by(created_at.desc()).limit(200)。</t>
        </is>
      </c>
      <c r="G64" s="4" t="inlineStr">
        <is>
          <t>创建201条任务，尝试查最早一条。</t>
        </is>
      </c>
      <c r="H64" s="4" t="inlineStr">
        <is>
          <t>提供cursor/limit及device/platform/account/state过滤；长期历史可访问。</t>
        </is>
      </c>
      <c r="I64" s="4" t="inlineStr">
        <is>
          <t>201条均可分页找到，稳定排序不漏不重。</t>
        </is>
      </c>
      <c r="J64" s="4" t="inlineStr">
        <is>
          <t>T013→P05；T028→P05</t>
        </is>
      </c>
      <c r="K64" s="4" t="inlineStr">
        <is>
          <t>负责人：ZCode
证据：2026-09-06 PlatformTask 游标分页，不再固定 200。</t>
        </is>
      </c>
      <c r="L64" s="4" t="inlineStr">
        <is>
          <t>原01_代码审阅!A64:N64
https://github.com/candywang98/lamda-yun/blob/b394475c56a07b0ea660531222d182646e1c7e66/services/control-api/src/cloudctl_api/mobile_service.py</t>
        </is>
      </c>
    </row>
    <row r="65" ht="150" customHeight="1">
      <c r="A65" s="4" t="inlineStr">
        <is>
          <t>B060</t>
        </is>
      </c>
      <c r="B65" s="4" t="inlineStr">
        <is>
          <t>P2</t>
        </is>
      </c>
      <c r="C65" s="4" t="inlineStr">
        <is>
          <t>待复现风险</t>
        </is>
      </c>
      <c r="D65" s="4" t="inlineStr">
        <is>
          <t>未处理</t>
        </is>
      </c>
      <c r="E65" s="4" t="inlineStr">
        <is>
          <t>媒体/大文件｜素材下载整对象读入内存</t>
        </is>
      </c>
      <c r="F65" s="4" t="inlineStr">
        <is>
          <t>download_media拿stored.content并整体hash、返回bytes；视频量大时需要内存压测。</t>
        </is>
      </c>
      <c r="G65" s="4" t="inlineStr">
        <is>
          <t>并发10个大视频下载，记录API峰值RSS/阻塞。</t>
        </is>
      </c>
      <c r="H65" s="4" t="inlineStr">
        <is>
          <t>对象存储流式下载或授权短链+客户端校验；大小/超时/并发限额；不要把视频流经JSON/base64。</t>
        </is>
      </c>
      <c r="I65" s="4" t="inlineStr">
        <is>
          <t>并发下载内存有界，取消释放资源，hash校验不取消。</t>
        </is>
      </c>
      <c r="J65" s="4" t="inlineStr">
        <is>
          <t>T046→P17；T116→P47</t>
        </is>
      </c>
      <c r="K65" s="4" t="inlineStr">
        <is>
          <t>负责人：未填
证据：未提供</t>
        </is>
      </c>
      <c r="L65" s="4" t="inlineStr">
        <is>
          <t>原01_代码审阅!A65:N65
https://github.com/candywang98/lamda-yun/blob/b394475c56a07b0ea660531222d182646e1c7e66/services/control-api/src/cloudctl_api/mobile_service.py</t>
        </is>
      </c>
    </row>
    <row r="66" ht="150" customHeight="1">
      <c r="A66" s="4" t="inlineStr">
        <is>
          <t>B061</t>
        </is>
      </c>
      <c r="B66" s="4" t="inlineStr">
        <is>
          <t>P2</t>
        </is>
      </c>
      <c r="C66" s="4" t="inlineStr">
        <is>
          <t>复核纠正</t>
        </is>
      </c>
      <c r="D66" s="4" t="inlineStr">
        <is>
          <t>未处理</t>
        </is>
      </c>
      <c r="E66" s="4" t="inlineStr">
        <is>
          <t>旧稿修正｜旧稿“预览无自动续期”表述不准确</t>
        </is>
      </c>
      <c r="F66" s="4" t="inlineStr">
        <is>
          <t>DeviceDetailView.pollPreview在inactive时会startPreview重建；应审查间隙/竞态，不说完全没有续期。</t>
        </is>
      </c>
      <c r="G66" s="4" t="inlineStr">
        <is>
          <t>阅读pollPreview 123-126附近并观察跨TTL行为。</t>
        </is>
      </c>
      <c r="H66" s="4" t="inlineStr">
        <is>
          <t>撤回旧I040原结论；新方案实时视频会话独立管理，不重复开无依据Bug。</t>
        </is>
      </c>
      <c r="I66" s="4" t="inlineStr">
        <is>
          <t>本文件不再要求修一个已经存在的自动重建逻辑。</t>
        </is>
      </c>
      <c r="J66" s="4" t="inlineStr">
        <is>
          <t>T001→P00</t>
        </is>
      </c>
      <c r="K66" s="4" t="inlineStr">
        <is>
          <t>负责人：未填
证据：未提供</t>
        </is>
      </c>
      <c r="L66" s="4" t="inlineStr">
        <is>
          <t>原01_代码审阅!A66:N66
https://github.com/candywang98/lamda-yun/blob/b394475c56a07b0ea660531222d182646e1c7e66/apps/web/src/views/DeviceDetailView.vue</t>
        </is>
      </c>
    </row>
    <row r="67" ht="150" customHeight="1">
      <c r="A67" s="4" t="inlineStr">
        <is>
          <t>B062</t>
        </is>
      </c>
      <c r="B67" s="4" t="inlineStr">
        <is>
          <t>P2</t>
        </is>
      </c>
      <c r="C67" s="4" t="inlineStr">
        <is>
          <t>复核纠正</t>
        </is>
      </c>
      <c r="D67" s="4" t="inlineStr">
        <is>
          <t>未处理</t>
        </is>
      </c>
      <c r="E67" s="4" t="inlineStr">
        <is>
          <t>旧稿修正｜旧稿部分路径与目录数量错误</t>
        </is>
      </c>
      <c r="F67" s="4" t="inlineStr">
        <is>
          <t>实际文件在apps/web/src/data，不是lib；闲鱼目录31项，违禁词30、教程31。</t>
        </is>
      </c>
      <c r="G67" s="4" t="inlineStr">
        <is>
          <t>比对目录树与operations-catalog。</t>
        </is>
      </c>
      <c r="H67" s="4" t="inlineStr">
        <is>
          <t>本表全部修正为实际data路径；功能覆盖以31项为准。</t>
        </is>
      </c>
      <c r="I67" s="4" t="inlineStr">
        <is>
          <t>智能体按路径可找到文件；31项没有漏掉末项或错位。</t>
        </is>
      </c>
      <c r="J67" s="4" t="inlineStr">
        <is>
          <t>T001→P00；T004→P01</t>
        </is>
      </c>
      <c r="K67" s="4" t="inlineStr">
        <is>
          <t>负责人：未填
证据：未提供</t>
        </is>
      </c>
      <c r="L67" s="4" t="inlineStr">
        <is>
          <t>原01_代码审阅!A67:N67
https://github.com/candywang98/lamda-yun/blob/b394475c56a07b0ea660531222d182646e1c7e66/apps/web/src/data/operations-catalog.ts
https://github.com/candywang98/lamda-yun/commit/b394475c56a07b0ea660531222d182646e1c7e66</t>
        </is>
      </c>
    </row>
    <row r="68" ht="150" customHeight="1">
      <c r="A68" s="4" t="inlineStr">
        <is>
          <t>B063</t>
        </is>
      </c>
      <c r="B68" s="4" t="inlineStr">
        <is>
          <t>P2</t>
        </is>
      </c>
      <c r="C68" s="4" t="inlineStr">
        <is>
          <t>待验证约束</t>
        </is>
      </c>
      <c r="D68" s="4" t="inlineStr">
        <is>
          <t>未处理</t>
        </is>
      </c>
      <c r="E68" s="4" t="inlineStr">
        <is>
          <t>代码覆盖｜本轮不能证明全部构建/运行/安全缺陷已穷尽</t>
        </is>
      </c>
      <c r="F68" s="4" t="inlineStr">
        <is>
          <t>公开main源码静态核查；容器git clone DNS失败；无Android真机、无实际API/DB运行。</t>
        </is>
      </c>
      <c r="G68" s="4" t="inlineStr">
        <is>
          <t>在真实仓库执行基线命令与全目录扫描，记录未读/未跑项。</t>
        </is>
      </c>
      <c r="H68" s="4" t="inlineStr">
        <is>
          <t>不得将47或本表数量声称全部Bug；把新失败补入此Sheet，保留证据与严重度。</t>
        </is>
      </c>
      <c r="I68" s="4" t="inlineStr">
        <is>
          <t>有可重复构建日志、全库覆盖矩阵与真机证据才允许结案。</t>
        </is>
      </c>
      <c r="J68" s="4" t="inlineStr">
        <is>
          <t>T001→P00；T002→P00；T120→P49</t>
        </is>
      </c>
      <c r="K68" s="4" t="inlineStr">
        <is>
          <t>负责人：未填
证据：未提供</t>
        </is>
      </c>
      <c r="L68" s="4" t="inlineStr">
        <is>
          <t>原01_代码审阅!A68:N68
https://github.com/candywang98/lamda-yun/blob/b394475c56a07b0ea660531222d182646e1c7e66/README.md
https://github.com/candywang98/lamda-yun/commit/b394475c56a07b0ea660531222d182646e1c7e66</t>
        </is>
      </c>
    </row>
  </sheetData>
  <mergeCells count="2">
    <mergeCell ref="A1:L1"/>
    <mergeCell ref="A2:L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75" customWidth="1" min="3" max="3"/>
    <col width="64" customWidth="1" min="4" max="4"/>
    <col width="55" customWidth="1" min="5" max="5"/>
  </cols>
  <sheetData>
    <row r="1" ht="30" customHeight="1">
      <c r="A1" s="87" t="inlineStr">
        <is>
          <t>08 / 模型分工、接口解锁与结束条件</t>
        </is>
      </c>
      <c r="B1" s="1" t="n"/>
      <c r="C1" s="1" t="n"/>
      <c r="D1" s="1" t="n"/>
      <c r="E1" s="1" t="n"/>
    </row>
    <row r="2" ht="35" customHeight="1">
      <c r="A2" s="88" t="inlineStr">
        <is>
          <t>以下为执行建议，不是代码现状证明。初始检查阈值60分钟、同错两轮升级可用实测校准；保留真实验收和不可逆动作授权要求。</t>
        </is>
      </c>
      <c r="B2" s="1" t="n"/>
      <c r="C2" s="1" t="n"/>
      <c r="D2" s="1" t="n"/>
      <c r="E2" s="1" t="n"/>
    </row>
    <row r="3" ht="22" customHeight="1">
      <c r="A3" s="1" t="n"/>
      <c r="B3" s="1" t="n"/>
      <c r="C3" s="1" t="n"/>
      <c r="D3" s="1" t="n"/>
      <c r="E3" s="1" t="n"/>
    </row>
    <row r="4">
      <c r="A4" s="89" t="n"/>
      <c r="B4" s="89" t="n"/>
      <c r="C4" s="89" t="n"/>
      <c r="D4" s="89" t="n"/>
      <c r="E4" s="89" t="n"/>
    </row>
    <row r="5" ht="34" customHeight="1">
      <c r="A5" s="90" t="inlineStr">
        <is>
          <t>编号</t>
        </is>
      </c>
      <c r="B5" s="90" t="inlineStr">
        <is>
          <t>场景</t>
        </is>
      </c>
      <c r="C5" s="90" t="inlineStr">
        <is>
          <t>执行规则</t>
        </is>
      </c>
      <c r="D5" s="90" t="inlineStr">
        <is>
          <t>结束 / 升级条件</t>
        </is>
      </c>
      <c r="E5" s="90" t="inlineStr">
        <is>
          <t>证据与范围</t>
        </is>
      </c>
    </row>
    <row r="6" ht="92" customHeight="1">
      <c r="A6" s="91" t="inlineStr">
        <is>
          <t>A01</t>
        </is>
      </c>
      <c r="B6" s="91" t="inlineStr">
        <is>
          <t>网页高级模型：总方案</t>
        </is>
      </c>
      <c r="C6" s="91" t="inlineStr">
        <is>
          <t>一次确定完整范围、架构和共享接口；详细施工单滚动展开当前包，依据当前代码证据。</t>
        </is>
      </c>
      <c r="D6" s="91" t="inlineStr">
        <is>
          <t>交付10模板要求的具体方案即可结束，不每包重复总架构审阅。</t>
        </is>
      </c>
      <c r="E6" s="91" t="inlineStr">
        <is>
          <t>代码未知标待核实；不凭旧路径编造当前符号。</t>
        </is>
      </c>
    </row>
    <row r="7" ht="92" customHeight="1">
      <c r="A7" s="92" t="inlineStr">
        <is>
          <t>A02</t>
        </is>
      </c>
      <c r="B7" s="92" t="inlineStr">
        <is>
          <t>本地模型：执行</t>
        </is>
      </c>
      <c r="C7" s="92" t="inlineStr">
        <is>
          <t>一次领取当前卡的一个可验收检查点；定向核实代码，按接口实施并运行有关测试。</t>
        </is>
      </c>
      <c r="D7" s="92" t="inlineStr">
        <is>
          <t>有通过证据或可定位阻塞即回写；不自行扩大范围。</t>
        </is>
      </c>
      <c r="E7" s="92" t="inlineStr">
        <is>
          <t>01是唯一进度台；09仅为每轮实测日志。</t>
        </is>
      </c>
    </row>
    <row r="8" ht="92" customHeight="1">
      <c r="A8" s="91" t="inlineStr">
        <is>
          <t>A03</t>
        </is>
      </c>
      <c r="B8" s="91" t="inlineStr">
        <is>
          <t>高级模型：异常诊断</t>
        </is>
      </c>
      <c r="C8" s="91" t="inlineStr">
        <is>
          <t>只接收失败签名、diff、错误日志和两轮尝试；输出合并的阻断清单。</t>
        </is>
      </c>
      <c r="D8" s="91" t="inlineStr">
        <is>
          <t>同一问题两轮不同修复仍失败或共享契约冲突时触发；可选优化不阻断。</t>
        </is>
      </c>
      <c r="E8" s="91" t="inlineStr">
        <is>
          <t>不是每个包必经审阅；涉及共享身份/租约/提交/版本机制的重大变更，接入真实副作用前做定向审阅。</t>
        </is>
      </c>
    </row>
    <row r="9" ht="92" customHeight="1">
      <c r="A9" s="92" t="inlineStr">
        <is>
          <t>A04</t>
        </is>
      </c>
      <c r="B9" s="92" t="inlineStr">
        <is>
          <t>无进展检查</t>
        </is>
      </c>
      <c r="C9" s="92" t="inlineStr">
        <is>
          <t>连续主动排查无新增证据达到I列阈值，暂停猜测，检查代码/接口/资源原因。</t>
        </is>
      </c>
      <c r="D9" s="92" t="inlineStr">
        <is>
          <t>正常长编译或长时测试按声明的检查点继续；不能自动重开相同循环。</t>
        </is>
      </c>
      <c r="E9" s="92" t="inlineStr">
        <is>
          <t>不等同于60分钟完工；次数用尽不等同通过。</t>
        </is>
      </c>
    </row>
    <row r="10" ht="92" customHeight="1">
      <c r="A10" s="91" t="inlineStr">
        <is>
          <t>A05</t>
        </is>
      </c>
      <c r="B10" s="91" t="inlineStr">
        <is>
          <t>独立完成</t>
        </is>
      </c>
      <c r="C10" s="91" t="inlineStr">
        <is>
          <t>冻结接口后，各模块契约测试通过即可记模块通过并结束开发。</t>
        </is>
      </c>
      <c r="D10" s="91" t="inlineStr">
        <is>
          <t>不等其他包整包完成；相关接口齐备后执行一条约定真实场景。</t>
        </is>
      </c>
      <c r="E10" s="91" t="inlineStr">
        <is>
          <t>失败定位到不符合契约的一侧；不用全部模块重新审阅。</t>
        </is>
      </c>
    </row>
    <row r="11" ht="92" customHeight="1">
      <c r="A11" s="92" t="inlineStr">
        <is>
          <t>A06</t>
        </is>
      </c>
      <c r="B11" s="92" t="inlineStr">
        <is>
          <t>同错计数</t>
        </is>
      </c>
      <c r="C11" s="92" t="inlineStr">
        <is>
          <t>用复现条件、失败断言/错误栈和触及路径定义同一失败签名；实质修复才算一轮。</t>
        </is>
      </c>
      <c r="D11" s="92" t="inlineStr">
        <is>
          <t>两轮后集中诊断，给出新证据和明确新方案后才开始新的修复批次。</t>
        </is>
      </c>
      <c r="E11" s="92" t="inlineStr">
        <is>
          <t>不因换会话、换措辞或换模型自动清零。</t>
        </is>
      </c>
    </row>
    <row r="12" ht="92" customHeight="1">
      <c r="A12" s="91" t="inlineStr">
        <is>
          <t>A07</t>
        </is>
      </c>
      <c r="B12" s="91" t="inlineStr">
        <is>
          <t>证据复用</t>
        </is>
      </c>
      <c r="C12" s="91" t="inlineStr">
        <is>
          <t>按受影响代码、契约、迁移、APK、Recipe及平台环境判断有效性。</t>
        </is>
      </c>
      <c r="D12" s="91" t="inlineStr">
        <is>
          <t>只复验受影响行为；相关实现变化时不能仅凭版本号不变沿用证据。</t>
        </is>
      </c>
      <c r="E12" s="91" t="inlineStr">
        <is>
          <t>无关改动不触发整套重跑；最终跨域验收仍保留。</t>
        </is>
      </c>
    </row>
    <row r="13" ht="92" customHeight="1">
      <c r="A13" s="92" t="inlineStr">
        <is>
          <t>A08</t>
        </is>
      </c>
      <c r="B13" s="92" t="inlineStr">
        <is>
          <t>并行执行</t>
        </is>
      </c>
      <c r="C13" s="92" t="inlineStr">
        <is>
          <t>接口冻结，文件族、迁移和真机写操作无冲突时可并行；默认单执行通道，按实际资源增加。</t>
        </is>
      </c>
      <c r="D13" s="92" t="inlineStr">
        <is>
          <t>共享文件/契约冲突收敛到一个负责人；独立分支通过后再合并验证。</t>
        </is>
      </c>
      <c r="E13" s="92" t="inlineStr">
        <is>
          <t>不按Agent数量直接除工期；工作副本/分支与证据基准要明确。</t>
        </is>
      </c>
    </row>
    <row r="14" ht="92" customHeight="1">
      <c r="A14" s="91" t="inlineStr">
        <is>
          <t>U01</t>
        </is>
      </c>
      <c r="B14" s="91" t="inlineStr">
        <is>
          <t>P08 ↔ P09</t>
        </is>
      </c>
      <c r="C14" s="91" t="inlineStr">
        <is>
          <t>P08先实现无最终提交任务的恢复：同taskId、检查点、旧epoch拒绝、FIFO。P09先验证通用账本/UNKNOWN保持停止。</t>
        </is>
      </c>
      <c r="D14" s="91" t="inlineStr">
        <is>
          <t>P08当前检查点不等待P09全部动作验收；涉及真实提交时必须过对应G3。</t>
        </is>
      </c>
      <c r="E14" s="91" t="inlineStr">
        <is>
          <t>仍需核实T026旧现场可用性，不保证过去taskId当前仍可续用。</t>
        </is>
      </c>
    </row>
    <row r="15" ht="92" customHeight="1">
      <c r="A15" s="92" t="inlineStr">
        <is>
          <t>U02</t>
        </is>
      </c>
      <c r="B15" s="92" t="inlineStr">
        <is>
          <t>P09 ↔ 发布/删除/扣费包</t>
        </is>
      </c>
      <c r="C15" s="92" t="inlineStr">
        <is>
          <t>共享journal/幂等/不确定停止接口先经契约与故障测试可用；每个动作随后补独立核对证据。</t>
        </is>
      </c>
      <c r="D15" s="92" t="inlineStr">
        <is>
          <t>只有该动作的门禁与授权通过才允许真实副作用；不等所有动作全部完成才开发第一种。</t>
        </is>
      </c>
      <c r="E15" s="92" t="inlineStr">
        <is>
          <t>保留每类动作主路径及丢ACK场景，不伪造exactly-once。</t>
        </is>
      </c>
    </row>
    <row r="16" ht="92" customHeight="1">
      <c r="A16" s="91" t="inlineStr">
        <is>
          <t>U03</t>
        </is>
      </c>
      <c r="B16" s="91" t="inlineStr">
        <is>
          <t>P07 ↔ P14</t>
        </is>
      </c>
      <c r="C16" s="91" t="inlineStr">
        <is>
          <t>安装+claim 与焦点硬验收均已关闭；签名包已装到 OnePlus 9R。当前缺口是 P14 版本生命周期完整证据，不是重新部署、重开签名或重复焦点 probe。</t>
        </is>
      </c>
      <c r="D16" s="91" t="inlineStr">
        <is>
          <t>定向核实 T041、签名 Recipe 的任务固定/执行、暂停与运行版本固定、下载中断和回退审计；不关签名、不自动发版、不重复焦点 probe、不启动 P15。</t>
        </is>
      </c>
      <c r="E16" s="91" t="inlineStr">
        <is>
          <t>首个包的确切测试和发布命令须据当前代码填写10模板。</t>
        </is>
      </c>
    </row>
    <row r="17" ht="92" customHeight="1">
      <c r="A17" s="92" t="inlineStr">
        <is>
          <t>U04</t>
        </is>
      </c>
      <c r="B17" s="92" t="inlineStr">
        <is>
          <t>P10 ↔ P48</t>
        </is>
      </c>
      <c r="C17" s="92" t="inlineStr">
        <is>
          <t>P48先交Control API/信令/TURN最小可用环境；P10接手机首帧和SIM relay。</t>
        </is>
      </c>
      <c r="D17" s="92" t="inlineStr">
        <is>
          <t>完整备份恢复与全部业务部署验收后续收口，不阻塞首帧开发。</t>
        </is>
      </c>
      <c r="E17" s="92" t="inlineStr">
        <is>
          <t>30分钟观看是稳定性测试条件，保留，不是人力排期。</t>
        </is>
      </c>
    </row>
    <row r="18" ht="92" customHeight="1">
      <c r="A18" s="91" t="inlineStr">
        <is>
          <t>U05</t>
        </is>
      </c>
      <c r="B18" s="91" t="inlineStr">
        <is>
          <t>P06 ↔ P17/P19/P20</t>
        </is>
      </c>
      <c r="C18" s="91" t="inlineStr">
        <is>
          <t>先按固定资源快照契约实现调度触发，各资源服务独立自测；接通后验证冻结不漂移。</t>
        </is>
      </c>
      <c r="D18" s="91" t="inlineStr">
        <is>
          <t>调度单独通过不冒充素材/水印已真实接通；不因资源池整包未完重做调度。</t>
        </is>
      </c>
      <c r="E18" s="91" t="inlineStr">
        <is>
          <t>各资源输入输出、就绪状态和错误语义写10。</t>
        </is>
      </c>
    </row>
    <row r="19" ht="92" customHeight="1">
      <c r="A19" s="92" t="inlineStr">
        <is>
          <t>U06</t>
        </is>
      </c>
      <c r="B19" s="92" t="inlineStr">
        <is>
          <t>P41/P42、P43/P44</t>
        </is>
      </c>
      <c r="C19" s="92" t="inlineStr">
        <is>
          <t>先以固定批次fixture开发接收/查询与去重；采集模块按同一schema实现。</t>
        </is>
      </c>
      <c r="D19" s="92" t="inlineStr">
        <is>
          <t>模块各自结束；后续各跑真实订单/指标场景完成整包验收。</t>
        </is>
      </c>
      <c r="E19" s="92" t="inlineStr">
        <is>
          <t>真实样本不足记资源阻塞，不循环修改解析器猜测。</t>
        </is>
      </c>
    </row>
    <row r="20" ht="92" customHeight="1">
      <c r="A20" s="91" t="inlineStr">
        <is>
          <t>A09</t>
        </is>
      </c>
      <c r="B20" s="91" t="inlineStr">
        <is>
          <t>阻塞切换</t>
        </is>
      </c>
      <c r="C20" s="91" t="inlineStr">
        <is>
          <t>代码失败升级；接口冲突裁决；设备/账号/授权/平台限制记录等待。</t>
        </is>
      </c>
      <c r="D20" s="91" t="inlineStr">
        <is>
          <t>只停受影响操作，切到独立可执行工作；不把等待当完成。</t>
        </is>
      </c>
      <c r="E20" s="91" t="inlineStr">
        <is>
          <t>记录责任与解除条件；不擅自采购、发布或改变一期范围。</t>
        </is>
      </c>
    </row>
    <row r="21" ht="92" customHeight="1">
      <c r="A21" s="92" t="inlineStr">
        <is>
          <t>A10</t>
        </is>
      </c>
      <c r="B21" s="92" t="inlineStr">
        <is>
          <t>首轮怎么做</t>
        </is>
      </c>
      <c r="C21" s="92" t="inlineStr">
        <is>
          <t>读取 P14 卡与 2026-09-09 硬验收 closeout，按 10 表只展开版本生命周期余项；不得把内置 Recipe probe 当作签名 Recipe 执行证据。</t>
        </is>
      </c>
      <c r="D21" s="92" t="inlineStr">
        <is>
          <t>不先填完50份施工单，不先读取完整旧手册；安装+claim已关闭不得重开。P08证据达到可继续P09，但 G3 未过。</t>
        </is>
      </c>
      <c r="E21" s="92" t="inlineStr">
        <is>
          <t>所有预算均为监控策略；成本缺失保留空白。</t>
        </is>
      </c>
    </row>
    <row r="22" ht="92" customHeight="1">
      <c r="A22" s="92" t="inlineStr">
        <is>
          <t>A11</t>
        </is>
      </c>
      <c r="B22" s="92" t="inlineStr">
        <is>
          <t>Root Worker：并行编排</t>
        </is>
      </c>
      <c r="C22" s="92" t="inlineStr">
        <is>
          <t>维护 READY 集、路径所有权和资源锁；一次选择最多3个无冲突工作项，全部创建后再统一等待。</t>
        </is>
      </c>
      <c r="D22" s="92" t="inlineStr">
        <is>
          <t>子任务均有结果或明确阻塞后进入检查/合并；Root 不代替路径 owner 并发写实现。</t>
        </is>
      </c>
      <c r="E22" s="92" t="inlineStr">
        <is>
          <t>计划、合同裁决、生成客户端、集成分支和最终证据只由 Root 更新。</t>
        </is>
      </c>
    </row>
    <row r="23" ht="92" customHeight="1">
      <c r="A23" s="92" t="inlineStr">
        <is>
          <t>A12</t>
        </is>
      </c>
      <c r="B23" s="92" t="inlineStr">
        <is>
          <t>子智能体：范围交付</t>
        </is>
      </c>
      <c r="C23" s="92" t="inlineStr">
        <is>
          <t>只改 owned_paths；使用冻结 fixture；提交 branch SHA、精确测试、证据、未覆盖项和所需锁。</t>
        </is>
      </c>
      <c r="D23" s="92" t="inlineStr">
        <is>
          <t>独立测试通过或给出可复现阻塞即结束；越界修改请求所有权转交。</t>
        </is>
      </c>
      <c r="E23" s="92" t="inlineStr">
        <is>
          <t>不改权威 Excel、不部署、不碰共享真机、不执行 RELEASE/G3。</t>
        </is>
      </c>
    </row>
    <row r="24" ht="92" customHeight="1">
      <c r="A24" s="92" t="inlineStr">
        <is>
          <t>A13</t>
        </is>
      </c>
      <c r="B24" s="92" t="inlineStr">
        <is>
          <t>批量创建而非串行等待</t>
        </is>
      </c>
      <c r="C24" s="92" t="inlineStr">
        <is>
          <t>同轮先 spawn WEB/CONTROL/ANDROID，再 wait_all；不得 spawn A→等待A→spawn B。</t>
        </is>
      </c>
      <c r="D24" s="92" t="inlineStr">
        <is>
          <t>运行时无真实子智能体能力则报告 SUBAGENT_CAPABILITY_UNAVAILABLE，不模拟并行。</t>
        </is>
      </c>
      <c r="E24" s="92" t="inlineStr">
        <is>
          <t>Temporal Child Workflow 不是编码子智能体。</t>
        </is>
      </c>
    </row>
    <row r="25" ht="92" customHeight="1">
      <c r="A25" s="92" t="inlineStr">
        <is>
          <t>A14</t>
        </is>
      </c>
      <c r="B25" s="92" t="inlineStr">
        <is>
          <t>独立 worktree</t>
        </is>
      </c>
      <c r="C25" s="92" t="inlineStr">
        <is>
          <t>当前改动先形成审核过的可恢复基线；所有写入子智能体从同一 SHA 使用独立 branch/worktree。</t>
        </is>
      </c>
      <c r="D25" s="92" t="inlineStr">
        <is>
          <t>没有共同基线只允许只读子智能体；不得在当前脏共享目录并发写。</t>
        </is>
      </c>
      <c r="E25" s="92" t="inlineStr">
        <is>
          <t>独立测试端口、数据库和构建缓存，避免互相污染。</t>
        </is>
      </c>
    </row>
    <row r="26" ht="92" customHeight="1">
      <c r="A26" s="92" t="inlineStr">
        <is>
          <t>A15</t>
        </is>
      </c>
      <c r="B26" s="92" t="inlineStr">
        <is>
          <t>受控合并与真机队列</t>
        </is>
      </c>
      <c r="C26" s="92" t="inlineStr">
        <is>
          <t>开发并行；合同/迁移/合并/部署/人工发布/设备写操作单队列。</t>
        </is>
      </c>
      <c r="D26" s="92" t="inlineStr">
        <is>
          <t>同一集成 SHA 全部软件测试通过后，用户授权无副作用 Recipe 真机验收。</t>
        </is>
      </c>
      <c r="E26" s="92" t="inlineStr">
        <is>
          <t>P14 版本测试不代表 G3；P14 未闭环不启动 P15。</t>
        </is>
      </c>
    </row>
    <row r="27" ht="92" customHeight="1">
      <c r="A27" s="92" t="inlineStr">
        <is>
          <t>U07</t>
        </is>
      </c>
      <c r="B27" s="92" t="inlineStr">
        <is>
          <t>P14 三泳道</t>
        </is>
      </c>
      <c r="C27" s="92" t="inlineStr">
        <is>
          <t>WEB=T041 页面；CONTROL=claim版本固定/单active/回退审计；ANDROID=下载验签/空闲激活/旧版保留。</t>
        </is>
      </c>
      <c r="D27" s="92" t="inlineStr">
        <is>
          <t>三路独立测试后 Root 合并；真实发布和 OnePlus 验收只执行一次。</t>
        </is>
      </c>
      <c r="E27" s="92" t="inlineStr">
        <is>
          <t>机器清单：docs/phase1/multi-agent-work-items.json；协议：docs/phase1/multi-agent-execution.md。</t>
        </is>
      </c>
    </row>
  </sheetData>
  <autoFilter ref="A5:E21"/>
  <mergeCells count="2">
    <mergeCell ref="A1:E1"/>
    <mergeCell ref="A2:E3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202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25" customWidth="1" min="4" max="4"/>
    <col width="16" customWidth="1" min="5" max="5"/>
    <col width="23" customWidth="1" min="6" max="6"/>
    <col width="23" customWidth="1" min="7" max="7"/>
    <col width="15" customWidth="1" min="8" max="8"/>
    <col width="17" customWidth="1" min="9" max="9"/>
    <col width="16" customWidth="1" min="10" max="10"/>
    <col width="16" customWidth="1" min="11" max="11"/>
    <col width="18" customWidth="1" min="12" max="12"/>
    <col width="18" customWidth="1" min="13" max="13"/>
    <col width="20" customWidth="1" min="14" max="14"/>
    <col width="35" customWidth="1" min="15" max="15"/>
    <col width="65" customWidth="1" min="16" max="16"/>
  </cols>
  <sheetData>
    <row r="1" ht="30" customHeight="1">
      <c r="A1" s="87" t="inlineStr">
        <is>
          <t>09 / 每轮执行记录（填写实际值）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5" customHeight="1">
      <c r="A2" s="88" t="inlineStr">
        <is>
          <t>执行者每轮追加一行；不要求用户重复填多张表。每轮唯一ID；B填P00–P49，费用以人民币记账并在P列标明来源/分摊方法；未知留空。时间用Asia/Shanghai。预置2000行。自2026-09-08起写入真实运行记录。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89" t="n"/>
      <c r="B4" s="89" t="n"/>
      <c r="C4" s="89" t="n"/>
      <c r="D4" s="89" t="n"/>
      <c r="E4" s="89" t="n"/>
      <c r="F4" s="89" t="n"/>
      <c r="G4" s="89" t="n"/>
      <c r="H4" s="89" t="n"/>
      <c r="I4" s="89" t="n"/>
      <c r="J4" s="89" t="n"/>
      <c r="K4" s="89" t="n"/>
      <c r="L4" s="89" t="n"/>
      <c r="M4" s="89" t="n"/>
      <c r="N4" s="89" t="n"/>
      <c r="O4" s="89" t="n"/>
      <c r="P4" s="89" t="n"/>
    </row>
    <row r="5" ht="34" customHeight="1">
      <c r="A5" s="90" t="inlineStr">
        <is>
          <t>轮次ID</t>
        </is>
      </c>
      <c r="B5" s="90" t="inlineStr">
        <is>
          <t>P包</t>
        </is>
      </c>
      <c r="C5" s="90" t="inlineStr">
        <is>
          <t>检查点</t>
        </is>
      </c>
      <c r="D5" s="90" t="inlineStr">
        <is>
          <t>模型/版本</t>
        </is>
      </c>
      <c r="E5" s="90" t="inlineStr">
        <is>
          <t>角色</t>
        </is>
      </c>
      <c r="F5" s="90" t="inlineStr">
        <is>
          <t>开始时间</t>
        </is>
      </c>
      <c r="G5" s="90" t="inlineStr">
        <is>
          <t>结束时间</t>
        </is>
      </c>
      <c r="H5" s="90" t="inlineStr">
        <is>
          <t>主动分钟</t>
        </is>
      </c>
      <c r="I5" s="90" t="inlineStr">
        <is>
          <t>资源等待分钟</t>
        </is>
      </c>
      <c r="J5" s="90" t="inlineStr">
        <is>
          <t>输入Token</t>
        </is>
      </c>
      <c r="K5" s="90" t="inlineStr">
        <is>
          <t>输出Token</t>
        </is>
      </c>
      <c r="L5" s="90" t="inlineStr">
        <is>
          <t>同错修复轮数</t>
        </is>
      </c>
      <c r="M5" s="90" t="inlineStr">
        <is>
          <t>人民币成本</t>
        </is>
      </c>
      <c r="N5" s="90" t="inlineStr">
        <is>
          <t>本轮结果</t>
        </is>
      </c>
      <c r="O5" s="90" t="inlineStr">
        <is>
          <t>失败签名</t>
        </is>
      </c>
      <c r="P5" s="90" t="inlineStr">
        <is>
          <t>证据/费用来源/下一步</t>
        </is>
      </c>
    </row>
    <row r="6" ht="48" customHeight="1">
      <c r="A6" s="102" t="inlineStr">
        <is>
          <t>R20260908-01</t>
        </is>
      </c>
      <c r="B6" s="102" t="inlineStr">
        <is>
          <t>P08</t>
        </is>
      </c>
      <c r="C6" s="102" t="inlineStr">
        <is>
          <t>暂停ack→同task恢复门禁；取消不可恢复；不含最终提交</t>
        </is>
      </c>
      <c r="D6" s="102" t="inlineStr">
        <is>
          <t>ZCode / grok-4.6</t>
        </is>
      </c>
      <c r="E6" s="102" t="inlineStr">
        <is>
          <t>执行</t>
        </is>
      </c>
      <c r="F6" s="103" t="n">
        <v>46273.02083333334</v>
      </c>
      <c r="G6" s="103" t="n">
        <v>46273.08333333334</v>
      </c>
      <c r="H6" s="102" t="n"/>
      <c r="I6" s="102" t="n"/>
      <c r="J6" s="102" t="n"/>
      <c r="K6" s="102" t="n"/>
      <c r="L6" s="102" t="n"/>
      <c r="M6" s="104" t="n"/>
      <c r="N6" s="102" t="inlineStr">
        <is>
          <t>模块通过：resume须PAUSED_WAITING_USER；取消/SUCCEEDED/RECONCILING拒绝恢复。真机有暂停与取消证据。CommandV1领取后的同task续跑未再跑一轮。</t>
        </is>
      </c>
      <c r="O6" s="102" t="n"/>
      <c r="P6" s="102" t="inlineStr">
        <is>
          <t>cloudctl-source/artifacts/tasks/P08-resume/。未点发布。下一步：P14前可用探针补CommandV1同task续跑。</t>
        </is>
      </c>
    </row>
    <row r="7" ht="48" customHeight="1">
      <c r="A7" s="105" t="inlineStr">
        <is>
          <t>R20260908-02</t>
        </is>
      </c>
      <c r="B7" s="105" t="inlineStr">
        <is>
          <t>P09</t>
        </is>
      </c>
      <c r="C7" s="105" t="inlineStr">
        <is>
          <t>UNKNOWN/终态门禁；commitIntent→RECONCILING不得盲续</t>
        </is>
      </c>
      <c r="D7" s="105" t="inlineStr">
        <is>
          <t>ZCode / grok-4.6</t>
        </is>
      </c>
      <c r="E7" s="105" t="inlineStr">
        <is>
          <t>执行</t>
        </is>
      </c>
      <c r="F7" s="106" t="n">
        <v>46273.08333333334</v>
      </c>
      <c r="G7" s="106" t="n">
        <v>46273.125</v>
      </c>
      <c r="H7" s="105" t="n"/>
      <c r="I7" s="105" t="n"/>
      <c r="J7" s="105" t="n"/>
      <c r="K7" s="105" t="n"/>
      <c r="L7" s="105" t="n"/>
      <c r="M7" s="107" t="n"/>
      <c r="N7" s="105" t="inlineStr">
        <is>
          <t>模块通过：mark-unknown/ack-paused拒绝SUCCEEDED；RECONCILING阻塞resume/retry。无真机断网二次提交。G3未过。</t>
        </is>
      </c>
      <c r="O7" s="105" t="n"/>
      <c r="P7" s="105" t="inlineStr">
        <is>
          <t>cloudctl-source/artifacts/tasks/P09-unknown/；tests/integration/test_platform_tasks.py。下一步：真实发布/扣费/删除前必须过G3。</t>
        </is>
      </c>
    </row>
    <row r="8" ht="48" customHeight="1">
      <c r="A8" s="102" t="inlineStr">
        <is>
          <t>R20260908-03</t>
        </is>
      </c>
      <c r="B8" s="102" t="inlineStr">
        <is>
          <t>P07</t>
        </is>
      </c>
      <c r="C8" s="102" t="inlineStr">
        <is>
          <t>生产claim改走CommandV1并接RecipeEngine</t>
        </is>
      </c>
      <c r="D8" s="102" t="inlineStr">
        <is>
          <t>ZCode / grok-4.6</t>
        </is>
      </c>
      <c r="E8" s="102" t="inlineStr">
        <is>
          <t>执行</t>
        </is>
      </c>
      <c r="F8" s="103" t="n">
        <v>46273.41666666666</v>
      </c>
      <c r="G8" s="103" t="n">
        <v>46273.52083333334</v>
      </c>
      <c r="H8" s="102" t="n"/>
      <c r="I8" s="102" t="n"/>
      <c r="J8" s="102" t="n"/>
      <c r="K8" s="102" t="n"/>
      <c r="L8" s="102" t="n"/>
      <c r="M8" s="104" t="n"/>
      <c r="N8" s="102" t="inlineStr">
        <is>
          <t>模块通过：claim protocolVersion=cloudctl.command/v1；无legacy steps。OnePlus探针67d95d4a SUCCEEDED controlEpoch=93。内置Recipe不是P14已发布包。OPEN_ONLY不记发布成功。</t>
        </is>
      </c>
      <c r="O8" s="102" t="n"/>
      <c r="P8" s="102" t="inlineStr">
        <is>
          <t>cloudctl-source/artifacts/tasks/P07-command-v1/summary.md；首尔cloudctl-mobile-api已重启；APK已装。下一步：P14签名人工发布。</t>
        </is>
      </c>
    </row>
    <row r="9" ht="48" customHeight="1">
      <c r="A9" s="105" t="inlineStr">
        <is>
          <t>R20260908-04</t>
        </is>
      </c>
      <c r="B9" s="105" t="inlineStr">
        <is>
          <t>P01</t>
        </is>
      </c>
      <c r="C9" s="105" t="inlineStr">
        <is>
          <t>T077闲鱼目录工厂；operationId mint CommandV1</t>
        </is>
      </c>
      <c r="D9" s="105" t="inlineStr">
        <is>
          <t>ZCode / grok-4.6</t>
        </is>
      </c>
      <c r="E9" s="105" t="inlineStr">
        <is>
          <t>执行</t>
        </is>
      </c>
      <c r="F9" s="106" t="n">
        <v>46273.52083333334</v>
      </c>
      <c r="G9" s="106" t="n">
        <v>46273.54861111111</v>
      </c>
      <c r="H9" s="105" t="n"/>
      <c r="I9" s="105" t="n"/>
      <c r="J9" s="105" t="n"/>
      <c r="K9" s="105" t="n"/>
      <c r="L9" s="105" t="n"/>
      <c r="M9" s="107" t="n"/>
      <c r="N9" s="105" t="inlineStr">
        <is>
          <t>模块通过：31项目录唯一归属；未接线/PENDING失败关闭。xy-tasks-03擦亮现场422；operationId=device-probe ca985a89 SUCCEEDED controlEpoch=94。</t>
        </is>
      </c>
      <c r="O9" s="105" t="n"/>
      <c r="P9" s="105" t="inlineStr">
        <is>
          <t>cloudctl-source/artifacts/tasks/P01-factory/summary.md；tests/unit/test_command_factory.py。下一步：P03/P05联调，不重做field-map。</t>
        </is>
      </c>
    </row>
    <row r="10" ht="32" customHeight="1">
      <c r="A10" s="91" t="inlineStr">
        <is>
          <t>BATCH-001</t>
        </is>
      </c>
      <c r="B10" s="91" t="inlineStr">
        <is>
          <t>P01-P09</t>
        </is>
      </c>
      <c r="C10" s="91" t="inlineStr">
        <is>
          <t>主链路代码与单测</t>
        </is>
      </c>
      <c r="D10" s="91" t="inlineStr">
        <is>
          <t>混合/ZCode历史会话</t>
        </is>
      </c>
      <c r="E10" s="91" t="inlineStr">
        <is>
          <t>执行+审阅</t>
        </is>
      </c>
      <c r="F10" s="94" t="inlineStr">
        <is>
          <t>2026-09-06 ~ 2026-09-08</t>
        </is>
      </c>
      <c r="G10" s="94" t="inlineStr">
        <is>
          <t>2026-09-08 12:44:25</t>
        </is>
      </c>
      <c r="H10" s="91" t="n"/>
      <c r="I10" s="91" t="n"/>
      <c r="J10" s="91" t="n"/>
      <c r="K10" s="91" t="n"/>
      <c r="L10" s="91" t="n"/>
      <c r="M10" s="95" t="n"/>
      <c r="N10" s="91" t="inlineStr">
        <is>
          <t>模块通过</t>
        </is>
      </c>
      <c r="O10" s="91" t="n"/>
      <c r="P10" s="91" t="inlineStr">
        <is>
          <t>T001-T027代码已写；001-007迁移SQL待执行；真机验收待补</t>
        </is>
      </c>
    </row>
    <row r="11" ht="48" customHeight="1">
      <c r="A11" s="105" t="inlineStr">
        <is>
          <t>R20260908-05</t>
        </is>
      </c>
      <c r="B11" s="105" t="inlineStr">
        <is>
          <t>P14</t>
        </is>
      </c>
      <c r="C11" s="105" t="inlineStr">
        <is>
          <t>人工签名发布候选Recipe到测试机；失败可回退；不得关签名</t>
        </is>
      </c>
      <c r="D11" s="105" t="inlineStr">
        <is>
          <t>ZCode / grok-4.6</t>
        </is>
      </c>
      <c r="E11" s="105" t="inlineStr">
        <is>
          <t>执行</t>
        </is>
      </c>
      <c r="F11" s="106" t="n">
        <v>46273.55555555555</v>
      </c>
      <c r="G11" s="106" t="n">
        <v>46273.63194444445</v>
      </c>
      <c r="H11" s="105" t="n"/>
      <c r="I11" s="105" t="n"/>
      <c r="J11" s="105" t="n"/>
      <c r="K11" s="105" t="n"/>
      <c r="L11" s="105" t="n"/>
      <c r="M11" s="107" t="n"/>
      <c r="N11" s="105" t="inlineStr">
        <is>
          <t>开发中：已接签名登记/人工publish到指定设备/Companion校验canonical hash+Ed25519。拒绝hash-pinned-builtin与:promote百分比发版。集成测试通过。未部署首尔，未在OnePlus拉取签名包。G3未过。</t>
        </is>
      </c>
      <c r="O11" s="105" t="n"/>
      <c r="P11" s="105" t="inlineStr">
        <is>
          <t>cloudctl-source/artifacts/tasks/P14-recipe-publish/summary.md；tests/integration/test_backend_control_api.py::test_recipe_catalog_requires_signature_and_manual_device_publish</t>
        </is>
      </c>
    </row>
    <row r="12" ht="32" customHeight="1">
      <c r="A12" s="108" t="inlineStr">
        <is>
          <t>R20260908-06</t>
        </is>
      </c>
      <c r="B12" s="108" t="inlineStr">
        <is>
          <t>SCOPE/P14</t>
        </is>
      </c>
      <c r="C12" s="108" t="inlineStr">
        <is>
          <t>单机分阶段验收范围变更；同步 P01/P07/P14 已知进度</t>
        </is>
      </c>
      <c r="D12" s="108" t="inlineStr">
        <is>
          <t>ZCode / grok-4.6</t>
        </is>
      </c>
      <c r="E12" s="108" t="inlineStr">
        <is>
          <t>计划修订</t>
        </is>
      </c>
      <c r="F12" s="109" t="n"/>
      <c r="G12" s="109" t="n"/>
      <c r="H12" s="108" t="n"/>
      <c r="I12" s="108" t="n"/>
      <c r="J12" s="108" t="n"/>
      <c r="K12" s="108" t="n"/>
      <c r="L12" s="108" t="n"/>
      <c r="M12" s="110" t="n"/>
      <c r="N12" s="108" t="inlineStr">
        <is>
          <t>用户确认当前验收=OnePlus 9R b0644fb5 单机分阶段；Note9/10台/100模拟改为后期扩展，非已通过、非永久删除。P01/P07模块通过且生产 CommandV1 claim 已有成功探针。P08同task续跑待验收。P09 G3未过。P14安装+claim关闭；ca211913 SUCCEEDED 19:10 Asia/Shanghai attempt=1；7f292679 FAILED/WRONG_ACTIVE；captain D 覆盖 worker CLOSED。未改代码/设备。本轮只改规划文档。</t>
        </is>
      </c>
      <c r="O12" s="108" t="n"/>
      <c r="P12" s="108" t="inlineStr">
        <is>
          <t>权威活动计划 lamda_yun_一期计划_智能体执行版.xlsx。证据：artifacts/tasks/P01-factory、P07-command-v1、P08-resume、P09-unknown、P14-recipe-publish。下一步：P14更强验收（不新开探针）；不启动P15。</t>
        </is>
      </c>
    </row>
    <row r="13" ht="32" customHeight="1">
      <c r="A13" s="108" t="inlineStr">
        <is>
          <t>R20260909-01</t>
        </is>
      </c>
      <c r="B13" s="108" t="inlineStr">
        <is>
          <t>P14</t>
        </is>
      </c>
      <c r="C13" s="108" t="inlineStr">
        <is>
          <t>闲鱼前台焦点竞争硬验收；对照当前任务状态</t>
        </is>
      </c>
      <c r="D13" s="108" t="inlineStr">
        <is>
          <t>历史执行会话（证据回填）</t>
        </is>
      </c>
      <c r="E13" s="108" t="inlineStr">
        <is>
          <t>验收回填</t>
        </is>
      </c>
      <c r="F13" s="109" t="n"/>
      <c r="G13" s="109" t="n"/>
      <c r="H13" s="108" t="n"/>
      <c r="I13" s="108" t="n"/>
      <c r="J13" s="108" t="n"/>
      <c r="K13" s="108" t="n"/>
      <c r="L13" s="108" t="n"/>
      <c r="M13" s="110" t="n"/>
      <c r="N13" s="108" t="inlineStr">
        <is>
          <t>当前检查点通过：单次授权任务 0d36fe3f… SUCCEEDED attempt=1；闲鱼前台起始，执行器日志显示 expected/actual 收敛到 Companion；进程未重启。7f292679 保持 FAILED/WRONG_ACTIVE_PACKAGE，签名校验未关闭。该结果只关闭焦点竞争检查点，不代表 P14 整包通过。</t>
        </is>
      </c>
      <c r="O13" s="108" t="n"/>
      <c r="P13" s="108" t="inlineStr">
        <is>
          <t>cloudctl-source/artifacts/tasks/P14-recipe-publish/knife-20260909-hard-accept-probe.md；hard-accept-probe-20260909/。本次复核：后端相关 6 项测试通过；Android Recipe 定向测试 BUILD SUCCESSFUL。下一步：T041 + 签名 Recipe claim 固定/执行 + 运行/暂停版本固定 + 下载中断保旧版 + 回退/设备版本审计；不重复焦点 probe，不启动 P15。</t>
        </is>
      </c>
    </row>
    <row r="14" ht="32" customHeight="1">
      <c r="A14" s="108" t="inlineStr">
        <is>
          <t>R20260909-02</t>
        </is>
      </c>
      <c r="B14" s="108" t="inlineStr">
        <is>
          <t>SCOPE/P14</t>
        </is>
      </c>
      <c r="C14" s="108" t="inlineStr">
        <is>
          <t>多智能体非串行执行方案；P14 三泳道与资源锁</t>
        </is>
      </c>
      <c r="D14" s="108" t="inlineStr">
        <is>
          <t>Root + 3 分析子智能体</t>
        </is>
      </c>
      <c r="E14" s="108" t="inlineStr">
        <is>
          <t>计划修订</t>
        </is>
      </c>
      <c r="F14" s="109" t="n"/>
      <c r="G14" s="109" t="n"/>
      <c r="H14" s="108" t="n"/>
      <c r="I14" s="108" t="n"/>
      <c r="J14" s="108" t="n"/>
      <c r="K14" s="108" t="n"/>
      <c r="L14" s="108" t="n"/>
      <c r="M14" s="110" t="n"/>
      <c r="N14" s="108" t="inlineStr">
        <is>
          <t>已建立开发层多智能体协议：Root Worker + 最多3个写入子智能体；同轮批量创建后统一等待。P14 拆为 WEB、CONTROL、ANDROID 三路并行，Root 负责合同、合并、生成客户端和真机验收。生产 Temporal Worker 不承担 LLM 子智能体编排。当前仓库为单个脏 worktree，实际多写者启动前状态为 WAIT_BASELINE。</t>
        </is>
      </c>
      <c r="O14" s="108" t="n"/>
      <c r="P14" s="108" t="inlineStr">
        <is>
          <t>AGENTS.md；docs/phase1/multi-agent-execution.md；docs/phase1/multi-agent-work-items.json；11_多智能体并行。下一步：审核并固化共同基线，然后一次性启动 P14-WEB-T041、P14-CONTROL-VERSION、P14-ANDROID-LIFECYCLE；不在共享脏目录并发写。</t>
        </is>
      </c>
    </row>
    <row r="15" ht="32" customHeight="1">
      <c r="A15" s="92" t="inlineStr">
        <is>
          <t>R20260910-P14-01</t>
        </is>
      </c>
      <c r="B15" s="92" t="inlineStr">
        <is>
          <t>P14</t>
        </is>
      </c>
      <c r="C15" s="92" t="inlineStr">
        <is>
          <t>签名版本生命周期单机验收及等待/恢复修复</t>
        </is>
      </c>
      <c r="D15" s="92" t="inlineStr">
        <is>
          <t>Codex Root + lamda-astra-worker×2</t>
        </is>
      </c>
      <c r="E15" s="92" t="inlineStr">
        <is>
          <t>执行</t>
        </is>
      </c>
      <c r="F15" s="96" t="n"/>
      <c r="G15" s="96" t="n">
        <v>46275.03904717592</v>
      </c>
      <c r="H15" s="92" t="n"/>
      <c r="I15" s="92" t="n"/>
      <c r="J15" s="92" t="n"/>
      <c r="K15" s="92" t="n"/>
      <c r="L15" s="92" t="n"/>
      <c r="M15" s="97" t="n"/>
      <c r="N15" s="92" t="inlineStr">
        <is>
          <t>功能验收通过</t>
        </is>
      </c>
      <c r="O15" s="92" t="n"/>
      <c r="P15" s="92" t="inlineStr">
        <is>
          <t>cloudctl-source/artifacts/tasks/P14-multi-agent/P14-INTEGRATION-ACCEPTANCE/summary.md；成本/Token未提供，留空。P09/G3与P15未验收。</t>
        </is>
      </c>
    </row>
    <row r="16" ht="32" customHeight="1">
      <c r="A16" s="91" t="inlineStr">
        <is>
          <t>R20260910-P09-01</t>
        </is>
      </c>
      <c r="B16" s="91" t="inlineStr">
        <is>
          <t>P09</t>
        </is>
      </c>
      <c r="C16" s="91" t="inlineStr">
        <is>
          <t>不确定状态保护与本地防重切片</t>
        </is>
      </c>
      <c r="D16" s="91" t="inlineStr">
        <is>
          <t>Codex Root + lamda-astra-worker×2</t>
        </is>
      </c>
      <c r="E16" s="91" t="inlineStr">
        <is>
          <t>执行</t>
        </is>
      </c>
      <c r="F16" s="94" t="n"/>
      <c r="G16" s="94" t="n">
        <v>46275.0633619213</v>
      </c>
      <c r="H16" s="91" t="n"/>
      <c r="I16" s="91" t="n"/>
      <c r="J16" s="91" t="n"/>
      <c r="K16" s="91" t="n"/>
      <c r="L16" s="91" t="n"/>
      <c r="M16" s="95" t="n"/>
      <c r="N16" s="91" t="inlineStr">
        <is>
          <t>模块通过</t>
        </is>
      </c>
      <c r="O16" s="91" t="n"/>
      <c r="P16" s="91" t="inlineStr">
        <is>
          <t>cloudctl-source/artifacts/tasks/P09-unknown/hardening-20260910.md；G3未验收。调用成本未提供，留空。</t>
        </is>
      </c>
    </row>
    <row r="17" ht="32" customHeight="1">
      <c r="A17" s="121" t="inlineStr">
        <is>
          <t>R20260913-P09-02</t>
        </is>
      </c>
      <c r="B17" s="121" t="inlineStr">
        <is>
          <t>P09</t>
        </is>
      </c>
      <c r="C17" s="121" t="inlineStr">
        <is>
          <t>抖音提交前验证与门禁路径（不执行真实发布）</t>
        </is>
      </c>
      <c r="D17" s="121" t="inlineStr">
        <is>
          <t>Root总控+写入子智能体（回填）</t>
        </is>
      </c>
      <c r="E17" s="121" t="inlineStr">
        <is>
          <t>执行</t>
        </is>
      </c>
      <c r="F17" s="122" t="inlineStr">
        <is>
          <t>2026-09-13</t>
        </is>
      </c>
      <c r="G17" s="122" t="inlineStr">
        <is>
          <t>2026-09-13</t>
        </is>
      </c>
      <c r="H17" s="121" t="n"/>
      <c r="I17" s="121" t="n"/>
      <c r="J17" s="121" t="n"/>
      <c r="K17" s="121" t="n"/>
      <c r="L17" s="121" t="n"/>
      <c r="M17" s="123" t="n"/>
      <c r="N17" s="121" t="inlineStr">
        <is>
          <t>模块通过：后端40过1跳；Android 190/0/0；真机任务91d7d91b 14步SUCCEEDED停在发布前；契约p09-steps-commit/20260913.1(+douyin)冻结</t>
        </is>
      </c>
      <c r="O17" s="121" t="n"/>
      <c r="P17" s="121" t="inlineStr">
        <is>
          <t>cloudctl-source/artifacts/tasks/P09-unknown/dy-precommit-20260913/；抖音真实发布待用户指示后执行</t>
        </is>
      </c>
    </row>
    <row r="18" ht="32" customHeight="1">
      <c r="A18" s="121" t="inlineStr">
        <is>
          <t>R20260914-SCOPE-01</t>
        </is>
      </c>
      <c r="B18" s="121" t="inlineStr">
        <is>
          <t>SCOPE/IM</t>
        </is>
      </c>
      <c r="C18" s="121" t="inlineStr">
        <is>
          <t>IM聚合端到端真机验收（原二期提前，用户2026-09-13批准）</t>
        </is>
      </c>
      <c r="D18" s="121" t="inlineStr">
        <is>
          <t>Root总控+用户真实账号配合（回填）</t>
        </is>
      </c>
      <c r="E18" s="121" t="inlineStr">
        <is>
          <t>验收</t>
        </is>
      </c>
      <c r="F18" s="122" t="inlineStr">
        <is>
          <t>2026-09-14</t>
        </is>
      </c>
      <c r="G18" s="122" t="inlineStr">
        <is>
          <t>2026-09-14</t>
        </is>
      </c>
      <c r="H18" s="121" t="n"/>
      <c r="I18" s="121" t="n"/>
      <c r="J18" s="121" t="n"/>
      <c r="K18" s="121" t="n"/>
      <c r="L18" s="121" t="n"/>
      <c r="M18" s="123" t="n"/>
      <c r="N18" s="121" t="inlineStr">
        <is>
          <t>真机验收通过（单机）：真通知→云端会话✅；云端回复→手机6步自动发送✅（8a5ead36 SUCCEEDED）；slice2监听配置/多平台/值班模式已部署首尔（迁移0018）</t>
        </is>
      </c>
      <c r="O18" s="121" t="n"/>
      <c r="P18" s="121" t="inlineStr">
        <is>
          <t>cloudctl-source/artifacts/tasks/P09-unknown/im-live-20260914/ 及 im-slice2-20260914/；值班内页导航与营销通道标定为slice 2遗留</t>
        </is>
      </c>
    </row>
    <row r="19" ht="32" customHeight="1">
      <c r="A19" s="121" t="inlineStr">
        <is>
          <t>R20260914-P10-01</t>
        </is>
      </c>
      <c r="B19" s="121" t="inlineStr">
        <is>
          <t>P10</t>
        </is>
      </c>
      <c r="C19" s="121" t="inlineStr">
        <is>
          <t>实时会话第一片：JPEG帧流投屏/远控（WebRTC后置）</t>
        </is>
      </c>
      <c r="D19" s="121" t="inlineStr">
        <is>
          <t>Root总控+2写入子智能体（回填）</t>
        </is>
      </c>
      <c r="E19" s="121" t="inlineStr">
        <is>
          <t>执行</t>
        </is>
      </c>
      <c r="F19" s="122" t="inlineStr">
        <is>
          <t>2026-09-13</t>
        </is>
      </c>
      <c r="G19" s="122" t="inlineStr">
        <is>
          <t>2026-09-14</t>
        </is>
      </c>
      <c r="H19" s="121" t="n"/>
      <c r="I19" s="121" t="n"/>
      <c r="J19" s="121" t="n"/>
      <c r="K19" s="121" t="n"/>
      <c r="L19" s="121" t="n"/>
      <c r="M19" s="123" t="n"/>
      <c r="N19" s="121" t="inlineStr">
        <is>
          <t>模块通过（已集成02a10fd）：后端51过1跳；Android 197/0；web typecheck+build过；真机SIM观看/远控验收（Q04）待Root持锁</t>
        </is>
      </c>
      <c r="O19" s="121" t="n"/>
      <c r="P19" s="121" t="inlineStr">
        <is>
          <t>cloudctl-source/artifacts/tasks/P09-unknown/dual-slice-20260913/；contracts/phase1/p10-live-session-v1.md</t>
        </is>
      </c>
    </row>
    <row r="20" ht="32" customHeight="1">
      <c r="A20" s="121" t="inlineStr">
        <is>
          <t>R20260915-P29-01</t>
        </is>
      </c>
      <c r="B20" s="121" t="inlineStr">
        <is>
          <t>P29</t>
        </is>
      </c>
      <c r="C20" s="121" t="inlineStr">
        <is>
          <t>闲鱼维护动作：擦亮+下架真机闭环（GATED受控账本）</t>
        </is>
      </c>
      <c r="D20" s="121" t="inlineStr">
        <is>
          <t>Root总控+2写入子智能体+契约裁定（回填）</t>
        </is>
      </c>
      <c r="E20" s="121" t="inlineStr">
        <is>
          <t>执行+真机验收</t>
        </is>
      </c>
      <c r="F20" s="122" t="inlineStr">
        <is>
          <t>2026-09-15</t>
        </is>
      </c>
      <c r="G20" s="122" t="inlineStr">
        <is>
          <t>2026-09-15</t>
        </is>
      </c>
      <c r="H20" s="121" t="n"/>
      <c r="I20" s="121" t="n"/>
      <c r="J20" s="121" t="n"/>
      <c r="K20" s="121" t="n"/>
      <c r="L20" s="121" t="n"/>
      <c r="M20" s="123" t="n"/>
      <c r="N20" s="121" t="inlineStr">
        <is>
          <t>真机验收通过（单件动作）：擦亮LAYOUT_GUARD_PASSED+5步SUCCEEDED；下架intent→恰好一次确认→在卖1→0→账本APPLIED→操作员CONFIRMED（63516d24）；后端606/1(+27)、Android 316/0(+24)</t>
        </is>
      </c>
      <c r="O20" s="121" t="n"/>
      <c r="P20" s="121" t="inlineStr">
        <is>
          <t>cloudctl-source/artifacts/tasks/P09-unknown/xianyu-maintenance-20260915/report.md；contracts/phase1/xianyu-maintenance-anchors-20260915.md；批量下架待定位方案</t>
        </is>
      </c>
    </row>
    <row r="21" ht="32" customHeight="1">
      <c r="A21" s="121" t="inlineStr">
        <is>
          <t>R20260915-P30-01</t>
        </is>
      </c>
      <c r="B21" s="121" t="inlineStr">
        <is>
          <t>P30</t>
        </is>
      </c>
      <c r="C21" s="121" t="inlineStr">
        <is>
          <t>闲鱼商品删除真机闭环（GATED确认+零误删安全停）</t>
        </is>
      </c>
      <c r="D21" s="121" t="inlineStr">
        <is>
          <t>Root总控（回填）</t>
        </is>
      </c>
      <c r="E21" s="121" t="inlineStr">
        <is>
          <t>执行+真机验收</t>
        </is>
      </c>
      <c r="F21" s="122" t="inlineStr">
        <is>
          <t>2026-09-15</t>
        </is>
      </c>
      <c r="G21" s="122" t="inlineStr">
        <is>
          <t>2026-09-15</t>
        </is>
      </c>
      <c r="H21" s="121" t="n"/>
      <c r="I21" s="121" t="n"/>
      <c r="J21" s="121" t="n"/>
      <c r="K21" s="121" t="n"/>
      <c r="L21" s="121" t="n">
        <v>2</v>
      </c>
      <c r="M21" s="123" t="n"/>
      <c r="N21" s="121" t="inlineStr">
        <is>
          <t>真机验收通过（单件动作）：删除37a665b0首卡单击→确认弹窗→GATED单击→¥299卡真实删除→账本confirm-delete→操作员核验卡片消失→CONFIRMED；首击坐标漂移两轮UNKNOWN安全停，零误删</t>
        </is>
      </c>
      <c r="O21" s="121" t="n"/>
      <c r="P21" s="121" t="inlineStr">
        <is>
          <t>cloudctl-source/artifacts/tasks/P09-unknown/xianyu-maintenance-20260915/report.md；稳健定位方案三选一待选型；留言/动态删除未开始</t>
        </is>
      </c>
    </row>
    <row r="22" ht="32" customHeight="1">
      <c r="A22" s="91" t="n"/>
      <c r="B22" s="91" t="n"/>
      <c r="C22" s="91" t="n"/>
      <c r="D22" s="91" t="n"/>
      <c r="E22" s="91" t="n"/>
      <c r="F22" s="94" t="n"/>
      <c r="G22" s="94" t="n"/>
      <c r="H22" s="91" t="n"/>
      <c r="I22" s="91" t="n"/>
      <c r="J22" s="91" t="n"/>
      <c r="K22" s="91" t="n"/>
      <c r="L22" s="91" t="n"/>
      <c r="M22" s="95" t="n"/>
      <c r="N22" s="91" t="n"/>
      <c r="O22" s="91" t="n"/>
      <c r="P22" s="91" t="n"/>
    </row>
    <row r="23" ht="32" customHeight="1">
      <c r="A23" s="92" t="n"/>
      <c r="B23" s="92" t="n"/>
      <c r="C23" s="92" t="n"/>
      <c r="D23" s="92" t="n"/>
      <c r="E23" s="92" t="n"/>
      <c r="F23" s="96" t="n"/>
      <c r="G23" s="96" t="n"/>
      <c r="H23" s="92" t="n"/>
      <c r="I23" s="92" t="n"/>
      <c r="J23" s="92" t="n"/>
      <c r="K23" s="92" t="n"/>
      <c r="L23" s="92" t="n"/>
      <c r="M23" s="97" t="n"/>
      <c r="N23" s="92" t="n"/>
      <c r="O23" s="92" t="n"/>
      <c r="P23" s="92" t="n"/>
    </row>
    <row r="24" ht="32" customHeight="1">
      <c r="A24" s="91" t="n"/>
      <c r="B24" s="91" t="n"/>
      <c r="C24" s="91" t="n"/>
      <c r="D24" s="91" t="n"/>
      <c r="E24" s="91" t="n"/>
      <c r="F24" s="94" t="n"/>
      <c r="G24" s="94" t="n"/>
      <c r="H24" s="91" t="n"/>
      <c r="I24" s="91" t="n"/>
      <c r="J24" s="91" t="n"/>
      <c r="K24" s="91" t="n"/>
      <c r="L24" s="91" t="n"/>
      <c r="M24" s="95" t="n"/>
      <c r="N24" s="91" t="n"/>
      <c r="O24" s="91" t="n"/>
      <c r="P24" s="91" t="n"/>
    </row>
    <row r="25" ht="32" customHeight="1">
      <c r="A25" s="92" t="n"/>
      <c r="B25" s="92" t="n"/>
      <c r="C25" s="92" t="n"/>
      <c r="D25" s="92" t="n"/>
      <c r="E25" s="92" t="n"/>
      <c r="F25" s="96" t="n"/>
      <c r="G25" s="96" t="n"/>
      <c r="H25" s="92" t="n"/>
      <c r="I25" s="92" t="n"/>
      <c r="J25" s="92" t="n"/>
      <c r="K25" s="92" t="n"/>
      <c r="L25" s="92" t="n"/>
      <c r="M25" s="97" t="n"/>
      <c r="N25" s="92" t="n"/>
      <c r="O25" s="92" t="n"/>
      <c r="P25" s="92" t="n"/>
    </row>
    <row r="26" ht="32" customHeight="1">
      <c r="A26" s="91" t="n"/>
      <c r="B26" s="91" t="n"/>
      <c r="C26" s="91" t="n"/>
      <c r="D26" s="91" t="n"/>
      <c r="E26" s="91" t="n"/>
      <c r="F26" s="94" t="n"/>
      <c r="G26" s="94" t="n"/>
      <c r="H26" s="91" t="n"/>
      <c r="I26" s="91" t="n"/>
      <c r="J26" s="91" t="n"/>
      <c r="K26" s="91" t="n"/>
      <c r="L26" s="91" t="n"/>
      <c r="M26" s="95" t="n"/>
      <c r="N26" s="91" t="n"/>
      <c r="O26" s="91" t="n"/>
      <c r="P26" s="91" t="n"/>
    </row>
    <row r="27" ht="32" customHeight="1">
      <c r="A27" s="92" t="n"/>
      <c r="B27" s="92" t="n"/>
      <c r="C27" s="92" t="n"/>
      <c r="D27" s="92" t="n"/>
      <c r="E27" s="92" t="n"/>
      <c r="F27" s="96" t="n"/>
      <c r="G27" s="96" t="n"/>
      <c r="H27" s="92" t="n"/>
      <c r="I27" s="92" t="n"/>
      <c r="J27" s="92" t="n"/>
      <c r="K27" s="92" t="n"/>
      <c r="L27" s="92" t="n"/>
      <c r="M27" s="97" t="n"/>
      <c r="N27" s="92" t="n"/>
      <c r="O27" s="92" t="n"/>
      <c r="P27" s="92" t="n"/>
    </row>
    <row r="28" ht="32" customHeight="1">
      <c r="A28" s="91" t="n"/>
      <c r="B28" s="91" t="n"/>
      <c r="C28" s="91" t="n"/>
      <c r="D28" s="91" t="n"/>
      <c r="E28" s="91" t="n"/>
      <c r="F28" s="94" t="n"/>
      <c r="G28" s="94" t="n"/>
      <c r="H28" s="91" t="n"/>
      <c r="I28" s="91" t="n"/>
      <c r="J28" s="91" t="n"/>
      <c r="K28" s="91" t="n"/>
      <c r="L28" s="91" t="n"/>
      <c r="M28" s="95" t="n"/>
      <c r="N28" s="91" t="n"/>
      <c r="O28" s="91" t="n"/>
      <c r="P28" s="91" t="n"/>
    </row>
    <row r="29" ht="32" customHeight="1">
      <c r="A29" s="92" t="n"/>
      <c r="B29" s="92" t="n"/>
      <c r="C29" s="92" t="n"/>
      <c r="D29" s="92" t="n"/>
      <c r="E29" s="92" t="n"/>
      <c r="F29" s="96" t="n"/>
      <c r="G29" s="96" t="n"/>
      <c r="H29" s="92" t="n"/>
      <c r="I29" s="92" t="n"/>
      <c r="J29" s="92" t="n"/>
      <c r="K29" s="92" t="n"/>
      <c r="L29" s="92" t="n"/>
      <c r="M29" s="97" t="n"/>
      <c r="N29" s="92" t="n"/>
      <c r="O29" s="92" t="n"/>
      <c r="P29" s="92" t="n"/>
    </row>
    <row r="30" ht="32" customHeight="1">
      <c r="A30" s="91" t="n"/>
      <c r="B30" s="91" t="n"/>
      <c r="C30" s="91" t="n"/>
      <c r="D30" s="91" t="n"/>
      <c r="E30" s="91" t="n"/>
      <c r="F30" s="94" t="n"/>
      <c r="G30" s="94" t="n"/>
      <c r="H30" s="91" t="n"/>
      <c r="I30" s="91" t="n"/>
      <c r="J30" s="91" t="n"/>
      <c r="K30" s="91" t="n"/>
      <c r="L30" s="91" t="n"/>
      <c r="M30" s="95" t="n"/>
      <c r="N30" s="91" t="n"/>
      <c r="O30" s="91" t="n"/>
      <c r="P30" s="91" t="n"/>
    </row>
    <row r="31" ht="32" customHeight="1">
      <c r="A31" s="92" t="n"/>
      <c r="B31" s="92" t="n"/>
      <c r="C31" s="92" t="n"/>
      <c r="D31" s="92" t="n"/>
      <c r="E31" s="92" t="n"/>
      <c r="F31" s="96" t="n"/>
      <c r="G31" s="96" t="n"/>
      <c r="H31" s="92" t="n"/>
      <c r="I31" s="92" t="n"/>
      <c r="J31" s="92" t="n"/>
      <c r="K31" s="92" t="n"/>
      <c r="L31" s="92" t="n"/>
      <c r="M31" s="97" t="n"/>
      <c r="N31" s="92" t="n"/>
      <c r="O31" s="92" t="n"/>
      <c r="P31" s="92" t="n"/>
    </row>
    <row r="32" ht="32" customHeight="1">
      <c r="A32" s="91" t="n"/>
      <c r="B32" s="91" t="n"/>
      <c r="C32" s="91" t="n"/>
      <c r="D32" s="91" t="n"/>
      <c r="E32" s="91" t="n"/>
      <c r="F32" s="94" t="n"/>
      <c r="G32" s="94" t="n"/>
      <c r="H32" s="91" t="n"/>
      <c r="I32" s="91" t="n"/>
      <c r="J32" s="91" t="n"/>
      <c r="K32" s="91" t="n"/>
      <c r="L32" s="91" t="n"/>
      <c r="M32" s="95" t="n"/>
      <c r="N32" s="91" t="n"/>
      <c r="O32" s="91" t="n"/>
      <c r="P32" s="91" t="n"/>
    </row>
    <row r="33" ht="32" customHeight="1">
      <c r="A33" s="92" t="n"/>
      <c r="B33" s="92" t="n"/>
      <c r="C33" s="92" t="n"/>
      <c r="D33" s="92" t="n"/>
      <c r="E33" s="92" t="n"/>
      <c r="F33" s="96" t="n"/>
      <c r="G33" s="96" t="n"/>
      <c r="H33" s="92" t="n"/>
      <c r="I33" s="92" t="n"/>
      <c r="J33" s="92" t="n"/>
      <c r="K33" s="92" t="n"/>
      <c r="L33" s="92" t="n"/>
      <c r="M33" s="97" t="n"/>
      <c r="N33" s="92" t="n"/>
      <c r="O33" s="92" t="n"/>
      <c r="P33" s="92" t="n"/>
    </row>
    <row r="34" ht="32" customHeight="1">
      <c r="A34" s="91" t="n"/>
      <c r="B34" s="91" t="n"/>
      <c r="C34" s="91" t="n"/>
      <c r="D34" s="91" t="n"/>
      <c r="E34" s="91" t="n"/>
      <c r="F34" s="94" t="n"/>
      <c r="G34" s="94" t="n"/>
      <c r="H34" s="91" t="n"/>
      <c r="I34" s="91" t="n"/>
      <c r="J34" s="91" t="n"/>
      <c r="K34" s="91" t="n"/>
      <c r="L34" s="91" t="n"/>
      <c r="M34" s="95" t="n"/>
      <c r="N34" s="91" t="n"/>
      <c r="O34" s="91" t="n"/>
      <c r="P34" s="91" t="n"/>
    </row>
    <row r="35" ht="32" customHeight="1">
      <c r="A35" s="92" t="n"/>
      <c r="B35" s="92" t="n"/>
      <c r="C35" s="92" t="n"/>
      <c r="D35" s="92" t="n"/>
      <c r="E35" s="92" t="n"/>
      <c r="F35" s="96" t="n"/>
      <c r="G35" s="96" t="n"/>
      <c r="H35" s="92" t="n"/>
      <c r="I35" s="92" t="n"/>
      <c r="J35" s="92" t="n"/>
      <c r="K35" s="92" t="n"/>
      <c r="L35" s="92" t="n"/>
      <c r="M35" s="97" t="n"/>
      <c r="N35" s="92" t="n"/>
      <c r="O35" s="92" t="n"/>
      <c r="P35" s="92" t="n"/>
    </row>
    <row r="36" ht="32" customHeight="1">
      <c r="A36" s="91" t="n"/>
      <c r="B36" s="91" t="n"/>
      <c r="C36" s="91" t="n"/>
      <c r="D36" s="91" t="n"/>
      <c r="E36" s="91" t="n"/>
      <c r="F36" s="94" t="n"/>
      <c r="G36" s="94" t="n"/>
      <c r="H36" s="91" t="n"/>
      <c r="I36" s="91" t="n"/>
      <c r="J36" s="91" t="n"/>
      <c r="K36" s="91" t="n"/>
      <c r="L36" s="91" t="n"/>
      <c r="M36" s="95" t="n"/>
      <c r="N36" s="91" t="n"/>
      <c r="O36" s="91" t="n"/>
      <c r="P36" s="91" t="n"/>
    </row>
    <row r="37" ht="32" customHeight="1">
      <c r="A37" s="92" t="n"/>
      <c r="B37" s="92" t="n"/>
      <c r="C37" s="92" t="n"/>
      <c r="D37" s="92" t="n"/>
      <c r="E37" s="92" t="n"/>
      <c r="F37" s="96" t="n"/>
      <c r="G37" s="96" t="n"/>
      <c r="H37" s="92" t="n"/>
      <c r="I37" s="92" t="n"/>
      <c r="J37" s="92" t="n"/>
      <c r="K37" s="92" t="n"/>
      <c r="L37" s="92" t="n"/>
      <c r="M37" s="97" t="n"/>
      <c r="N37" s="92" t="n"/>
      <c r="O37" s="92" t="n"/>
      <c r="P37" s="92" t="n"/>
    </row>
    <row r="38" ht="32" customHeight="1">
      <c r="A38" s="91" t="n"/>
      <c r="B38" s="91" t="n"/>
      <c r="C38" s="91" t="n"/>
      <c r="D38" s="91" t="n"/>
      <c r="E38" s="91" t="n"/>
      <c r="F38" s="94" t="n"/>
      <c r="G38" s="94" t="n"/>
      <c r="H38" s="91" t="n"/>
      <c r="I38" s="91" t="n"/>
      <c r="J38" s="91" t="n"/>
      <c r="K38" s="91" t="n"/>
      <c r="L38" s="91" t="n"/>
      <c r="M38" s="95" t="n"/>
      <c r="N38" s="91" t="n"/>
      <c r="O38" s="91" t="n"/>
      <c r="P38" s="91" t="n"/>
    </row>
    <row r="39" ht="32" customHeight="1">
      <c r="A39" s="92" t="n"/>
      <c r="B39" s="92" t="n"/>
      <c r="C39" s="92" t="n"/>
      <c r="D39" s="92" t="n"/>
      <c r="E39" s="92" t="n"/>
      <c r="F39" s="96" t="n"/>
      <c r="G39" s="96" t="n"/>
      <c r="H39" s="92" t="n"/>
      <c r="I39" s="92" t="n"/>
      <c r="J39" s="92" t="n"/>
      <c r="K39" s="92" t="n"/>
      <c r="L39" s="92" t="n"/>
      <c r="M39" s="97" t="n"/>
      <c r="N39" s="92" t="n"/>
      <c r="O39" s="92" t="n"/>
      <c r="P39" s="92" t="n"/>
    </row>
    <row r="40" ht="32" customHeight="1">
      <c r="A40" s="91" t="n"/>
      <c r="B40" s="91" t="n"/>
      <c r="C40" s="91" t="n"/>
      <c r="D40" s="91" t="n"/>
      <c r="E40" s="91" t="n"/>
      <c r="F40" s="94" t="n"/>
      <c r="G40" s="94" t="n"/>
      <c r="H40" s="91" t="n"/>
      <c r="I40" s="91" t="n"/>
      <c r="J40" s="91" t="n"/>
      <c r="K40" s="91" t="n"/>
      <c r="L40" s="91" t="n"/>
      <c r="M40" s="95" t="n"/>
      <c r="N40" s="91" t="n"/>
      <c r="O40" s="91" t="n"/>
      <c r="P40" s="91" t="n"/>
    </row>
    <row r="41" ht="32" customHeight="1">
      <c r="A41" s="92" t="n"/>
      <c r="B41" s="92" t="n"/>
      <c r="C41" s="92" t="n"/>
      <c r="D41" s="92" t="n"/>
      <c r="E41" s="92" t="n"/>
      <c r="F41" s="96" t="n"/>
      <c r="G41" s="96" t="n"/>
      <c r="H41" s="92" t="n"/>
      <c r="I41" s="92" t="n"/>
      <c r="J41" s="92" t="n"/>
      <c r="K41" s="92" t="n"/>
      <c r="L41" s="92" t="n"/>
      <c r="M41" s="97" t="n"/>
      <c r="N41" s="92" t="n"/>
      <c r="O41" s="92" t="n"/>
      <c r="P41" s="92" t="n"/>
    </row>
    <row r="42" ht="32" customHeight="1">
      <c r="A42" s="91" t="n"/>
      <c r="B42" s="91" t="n"/>
      <c r="C42" s="91" t="n"/>
      <c r="D42" s="91" t="n"/>
      <c r="E42" s="91" t="n"/>
      <c r="F42" s="94" t="n"/>
      <c r="G42" s="94" t="n"/>
      <c r="H42" s="91" t="n"/>
      <c r="I42" s="91" t="n"/>
      <c r="J42" s="91" t="n"/>
      <c r="K42" s="91" t="n"/>
      <c r="L42" s="91" t="n"/>
      <c r="M42" s="95" t="n"/>
      <c r="N42" s="91" t="n"/>
      <c r="O42" s="91" t="n"/>
      <c r="P42" s="91" t="n"/>
    </row>
    <row r="43" ht="32" customHeight="1">
      <c r="A43" s="92" t="n"/>
      <c r="B43" s="92" t="n"/>
      <c r="C43" s="92" t="n"/>
      <c r="D43" s="92" t="n"/>
      <c r="E43" s="92" t="n"/>
      <c r="F43" s="96" t="n"/>
      <c r="G43" s="96" t="n"/>
      <c r="H43" s="92" t="n"/>
      <c r="I43" s="92" t="n"/>
      <c r="J43" s="92" t="n"/>
      <c r="K43" s="92" t="n"/>
      <c r="L43" s="92" t="n"/>
      <c r="M43" s="97" t="n"/>
      <c r="N43" s="92" t="n"/>
      <c r="O43" s="92" t="n"/>
      <c r="P43" s="92" t="n"/>
    </row>
    <row r="44" ht="32" customHeight="1">
      <c r="A44" s="91" t="n"/>
      <c r="B44" s="91" t="n"/>
      <c r="C44" s="91" t="n"/>
      <c r="D44" s="91" t="n"/>
      <c r="E44" s="91" t="n"/>
      <c r="F44" s="94" t="n"/>
      <c r="G44" s="94" t="n"/>
      <c r="H44" s="91" t="n"/>
      <c r="I44" s="91" t="n"/>
      <c r="J44" s="91" t="n"/>
      <c r="K44" s="91" t="n"/>
      <c r="L44" s="91" t="n"/>
      <c r="M44" s="95" t="n"/>
      <c r="N44" s="91" t="n"/>
      <c r="O44" s="91" t="n"/>
      <c r="P44" s="91" t="n"/>
    </row>
    <row r="45" ht="32" customHeight="1">
      <c r="A45" s="92" t="n"/>
      <c r="B45" s="92" t="n"/>
      <c r="C45" s="92" t="n"/>
      <c r="D45" s="92" t="n"/>
      <c r="E45" s="92" t="n"/>
      <c r="F45" s="96" t="n"/>
      <c r="G45" s="96" t="n"/>
      <c r="H45" s="92" t="n"/>
      <c r="I45" s="92" t="n"/>
      <c r="J45" s="92" t="n"/>
      <c r="K45" s="92" t="n"/>
      <c r="L45" s="92" t="n"/>
      <c r="M45" s="97" t="n"/>
      <c r="N45" s="92" t="n"/>
      <c r="O45" s="92" t="n"/>
      <c r="P45" s="92" t="n"/>
    </row>
    <row r="46" ht="32" customHeight="1">
      <c r="A46" s="91" t="n"/>
      <c r="B46" s="91" t="n"/>
      <c r="C46" s="91" t="n"/>
      <c r="D46" s="91" t="n"/>
      <c r="E46" s="91" t="n"/>
      <c r="F46" s="94" t="n"/>
      <c r="G46" s="94" t="n"/>
      <c r="H46" s="91" t="n"/>
      <c r="I46" s="91" t="n"/>
      <c r="J46" s="91" t="n"/>
      <c r="K46" s="91" t="n"/>
      <c r="L46" s="91" t="n"/>
      <c r="M46" s="95" t="n"/>
      <c r="N46" s="91" t="n"/>
      <c r="O46" s="91" t="n"/>
      <c r="P46" s="91" t="n"/>
    </row>
    <row r="47" ht="32" customHeight="1">
      <c r="A47" s="92" t="n"/>
      <c r="B47" s="92" t="n"/>
      <c r="C47" s="92" t="n"/>
      <c r="D47" s="92" t="n"/>
      <c r="E47" s="92" t="n"/>
      <c r="F47" s="96" t="n"/>
      <c r="G47" s="96" t="n"/>
      <c r="H47" s="92" t="n"/>
      <c r="I47" s="92" t="n"/>
      <c r="J47" s="92" t="n"/>
      <c r="K47" s="92" t="n"/>
      <c r="L47" s="92" t="n"/>
      <c r="M47" s="97" t="n"/>
      <c r="N47" s="92" t="n"/>
      <c r="O47" s="92" t="n"/>
      <c r="P47" s="92" t="n"/>
    </row>
    <row r="48" ht="32" customHeight="1">
      <c r="A48" s="91" t="n"/>
      <c r="B48" s="91" t="n"/>
      <c r="C48" s="91" t="n"/>
      <c r="D48" s="91" t="n"/>
      <c r="E48" s="91" t="n"/>
      <c r="F48" s="94" t="n"/>
      <c r="G48" s="94" t="n"/>
      <c r="H48" s="91" t="n"/>
      <c r="I48" s="91" t="n"/>
      <c r="J48" s="91" t="n"/>
      <c r="K48" s="91" t="n"/>
      <c r="L48" s="91" t="n"/>
      <c r="M48" s="95" t="n"/>
      <c r="N48" s="91" t="n"/>
      <c r="O48" s="91" t="n"/>
      <c r="P48" s="91" t="n"/>
    </row>
    <row r="49" ht="32" customHeight="1">
      <c r="A49" s="92" t="n"/>
      <c r="B49" s="92" t="n"/>
      <c r="C49" s="92" t="n"/>
      <c r="D49" s="92" t="n"/>
      <c r="E49" s="92" t="n"/>
      <c r="F49" s="96" t="n"/>
      <c r="G49" s="96" t="n"/>
      <c r="H49" s="92" t="n"/>
      <c r="I49" s="92" t="n"/>
      <c r="J49" s="92" t="n"/>
      <c r="K49" s="92" t="n"/>
      <c r="L49" s="92" t="n"/>
      <c r="M49" s="97" t="n"/>
      <c r="N49" s="92" t="n"/>
      <c r="O49" s="92" t="n"/>
      <c r="P49" s="92" t="n"/>
    </row>
    <row r="50" ht="32" customHeight="1">
      <c r="A50" s="91" t="n"/>
      <c r="B50" s="91" t="n"/>
      <c r="C50" s="91" t="n"/>
      <c r="D50" s="91" t="n"/>
      <c r="E50" s="91" t="n"/>
      <c r="F50" s="94" t="n"/>
      <c r="G50" s="94" t="n"/>
      <c r="H50" s="91" t="n"/>
      <c r="I50" s="91" t="n"/>
      <c r="J50" s="91" t="n"/>
      <c r="K50" s="91" t="n"/>
      <c r="L50" s="91" t="n"/>
      <c r="M50" s="95" t="n"/>
      <c r="N50" s="91" t="n"/>
      <c r="O50" s="91" t="n"/>
      <c r="P50" s="91" t="n"/>
    </row>
    <row r="51" ht="32" customHeight="1">
      <c r="A51" s="92" t="n"/>
      <c r="B51" s="92" t="n"/>
      <c r="C51" s="92" t="n"/>
      <c r="D51" s="92" t="n"/>
      <c r="E51" s="92" t="n"/>
      <c r="F51" s="96" t="n"/>
      <c r="G51" s="96" t="n"/>
      <c r="H51" s="92" t="n"/>
      <c r="I51" s="92" t="n"/>
      <c r="J51" s="92" t="n"/>
      <c r="K51" s="92" t="n"/>
      <c r="L51" s="92" t="n"/>
      <c r="M51" s="97" t="n"/>
      <c r="N51" s="92" t="n"/>
      <c r="O51" s="92" t="n"/>
      <c r="P51" s="92" t="n"/>
    </row>
    <row r="52" ht="32" customHeight="1">
      <c r="A52" s="91" t="n"/>
      <c r="B52" s="91" t="n"/>
      <c r="C52" s="91" t="n"/>
      <c r="D52" s="91" t="n"/>
      <c r="E52" s="91" t="n"/>
      <c r="F52" s="94" t="n"/>
      <c r="G52" s="94" t="n"/>
      <c r="H52" s="91" t="n"/>
      <c r="I52" s="91" t="n"/>
      <c r="J52" s="91" t="n"/>
      <c r="K52" s="91" t="n"/>
      <c r="L52" s="91" t="n"/>
      <c r="M52" s="95" t="n"/>
      <c r="N52" s="91" t="n"/>
      <c r="O52" s="91" t="n"/>
      <c r="P52" s="91" t="n"/>
    </row>
    <row r="53" ht="32" customHeight="1">
      <c r="A53" s="92" t="n"/>
      <c r="B53" s="92" t="n"/>
      <c r="C53" s="92" t="n"/>
      <c r="D53" s="92" t="n"/>
      <c r="E53" s="92" t="n"/>
      <c r="F53" s="96" t="n"/>
      <c r="G53" s="96" t="n"/>
      <c r="H53" s="92" t="n"/>
      <c r="I53" s="92" t="n"/>
      <c r="J53" s="92" t="n"/>
      <c r="K53" s="92" t="n"/>
      <c r="L53" s="92" t="n"/>
      <c r="M53" s="97" t="n"/>
      <c r="N53" s="92" t="n"/>
      <c r="O53" s="92" t="n"/>
      <c r="P53" s="92" t="n"/>
    </row>
    <row r="54" ht="32" customHeight="1">
      <c r="A54" s="91" t="n"/>
      <c r="B54" s="91" t="n"/>
      <c r="C54" s="91" t="n"/>
      <c r="D54" s="91" t="n"/>
      <c r="E54" s="91" t="n"/>
      <c r="F54" s="94" t="n"/>
      <c r="G54" s="94" t="n"/>
      <c r="H54" s="91" t="n"/>
      <c r="I54" s="91" t="n"/>
      <c r="J54" s="91" t="n"/>
      <c r="K54" s="91" t="n"/>
      <c r="L54" s="91" t="n"/>
      <c r="M54" s="95" t="n"/>
      <c r="N54" s="91" t="n"/>
      <c r="O54" s="91" t="n"/>
      <c r="P54" s="91" t="n"/>
    </row>
    <row r="55" ht="32" customHeight="1">
      <c r="A55" s="92" t="n"/>
      <c r="B55" s="92" t="n"/>
      <c r="C55" s="92" t="n"/>
      <c r="D55" s="92" t="n"/>
      <c r="E55" s="92" t="n"/>
      <c r="F55" s="96" t="n"/>
      <c r="G55" s="96" t="n"/>
      <c r="H55" s="92" t="n"/>
      <c r="I55" s="92" t="n"/>
      <c r="J55" s="92" t="n"/>
      <c r="K55" s="92" t="n"/>
      <c r="L55" s="92" t="n"/>
      <c r="M55" s="97" t="n"/>
      <c r="N55" s="92" t="n"/>
      <c r="O55" s="92" t="n"/>
      <c r="P55" s="92" t="n"/>
    </row>
    <row r="56" ht="32" customHeight="1">
      <c r="A56" s="91" t="n"/>
      <c r="B56" s="91" t="n"/>
      <c r="C56" s="91" t="n"/>
      <c r="D56" s="91" t="n"/>
      <c r="E56" s="91" t="n"/>
      <c r="F56" s="94" t="n"/>
      <c r="G56" s="94" t="n"/>
      <c r="H56" s="91" t="n"/>
      <c r="I56" s="91" t="n"/>
      <c r="J56" s="91" t="n"/>
      <c r="K56" s="91" t="n"/>
      <c r="L56" s="91" t="n"/>
      <c r="M56" s="95" t="n"/>
      <c r="N56" s="91" t="n"/>
      <c r="O56" s="91" t="n"/>
      <c r="P56" s="91" t="n"/>
    </row>
    <row r="57" ht="32" customHeight="1">
      <c r="A57" s="92" t="n"/>
      <c r="B57" s="92" t="n"/>
      <c r="C57" s="92" t="n"/>
      <c r="D57" s="92" t="n"/>
      <c r="E57" s="92" t="n"/>
      <c r="F57" s="96" t="n"/>
      <c r="G57" s="96" t="n"/>
      <c r="H57" s="92" t="n"/>
      <c r="I57" s="92" t="n"/>
      <c r="J57" s="92" t="n"/>
      <c r="K57" s="92" t="n"/>
      <c r="L57" s="92" t="n"/>
      <c r="M57" s="97" t="n"/>
      <c r="N57" s="92" t="n"/>
      <c r="O57" s="92" t="n"/>
      <c r="P57" s="92" t="n"/>
    </row>
    <row r="58" ht="32" customHeight="1">
      <c r="A58" s="91" t="n"/>
      <c r="B58" s="91" t="n"/>
      <c r="C58" s="91" t="n"/>
      <c r="D58" s="91" t="n"/>
      <c r="E58" s="91" t="n"/>
      <c r="F58" s="94" t="n"/>
      <c r="G58" s="94" t="n"/>
      <c r="H58" s="91" t="n"/>
      <c r="I58" s="91" t="n"/>
      <c r="J58" s="91" t="n"/>
      <c r="K58" s="91" t="n"/>
      <c r="L58" s="91" t="n"/>
      <c r="M58" s="95" t="n"/>
      <c r="N58" s="91" t="n"/>
      <c r="O58" s="91" t="n"/>
      <c r="P58" s="91" t="n"/>
    </row>
    <row r="59" ht="32" customHeight="1">
      <c r="A59" s="92" t="n"/>
      <c r="B59" s="92" t="n"/>
      <c r="C59" s="92" t="n"/>
      <c r="D59" s="92" t="n"/>
      <c r="E59" s="92" t="n"/>
      <c r="F59" s="96" t="n"/>
      <c r="G59" s="96" t="n"/>
      <c r="H59" s="92" t="n"/>
      <c r="I59" s="92" t="n"/>
      <c r="J59" s="92" t="n"/>
      <c r="K59" s="92" t="n"/>
      <c r="L59" s="92" t="n"/>
      <c r="M59" s="97" t="n"/>
      <c r="N59" s="92" t="n"/>
      <c r="O59" s="92" t="n"/>
      <c r="P59" s="92" t="n"/>
    </row>
    <row r="60" ht="32" customHeight="1">
      <c r="A60" s="91" t="n"/>
      <c r="B60" s="91" t="n"/>
      <c r="C60" s="91" t="n"/>
      <c r="D60" s="91" t="n"/>
      <c r="E60" s="91" t="n"/>
      <c r="F60" s="94" t="n"/>
      <c r="G60" s="94" t="n"/>
      <c r="H60" s="91" t="n"/>
      <c r="I60" s="91" t="n"/>
      <c r="J60" s="91" t="n"/>
      <c r="K60" s="91" t="n"/>
      <c r="L60" s="91" t="n"/>
      <c r="M60" s="95" t="n"/>
      <c r="N60" s="91" t="n"/>
      <c r="O60" s="91" t="n"/>
      <c r="P60" s="91" t="n"/>
    </row>
    <row r="61" ht="32" customHeight="1">
      <c r="A61" s="92" t="n"/>
      <c r="B61" s="92" t="n"/>
      <c r="C61" s="92" t="n"/>
      <c r="D61" s="92" t="n"/>
      <c r="E61" s="92" t="n"/>
      <c r="F61" s="96" t="n"/>
      <c r="G61" s="96" t="n"/>
      <c r="H61" s="92" t="n"/>
      <c r="I61" s="92" t="n"/>
      <c r="J61" s="92" t="n"/>
      <c r="K61" s="92" t="n"/>
      <c r="L61" s="92" t="n"/>
      <c r="M61" s="97" t="n"/>
      <c r="N61" s="92" t="n"/>
      <c r="O61" s="92" t="n"/>
      <c r="P61" s="92" t="n"/>
    </row>
    <row r="62" ht="32" customHeight="1">
      <c r="A62" s="91" t="n"/>
      <c r="B62" s="91" t="n"/>
      <c r="C62" s="91" t="n"/>
      <c r="D62" s="91" t="n"/>
      <c r="E62" s="91" t="n"/>
      <c r="F62" s="94" t="n"/>
      <c r="G62" s="94" t="n"/>
      <c r="H62" s="91" t="n"/>
      <c r="I62" s="91" t="n"/>
      <c r="J62" s="91" t="n"/>
      <c r="K62" s="91" t="n"/>
      <c r="L62" s="91" t="n"/>
      <c r="M62" s="95" t="n"/>
      <c r="N62" s="91" t="n"/>
      <c r="O62" s="91" t="n"/>
      <c r="P62" s="91" t="n"/>
    </row>
    <row r="63" ht="32" customHeight="1">
      <c r="A63" s="92" t="n"/>
      <c r="B63" s="92" t="n"/>
      <c r="C63" s="92" t="n"/>
      <c r="D63" s="92" t="n"/>
      <c r="E63" s="92" t="n"/>
      <c r="F63" s="96" t="n"/>
      <c r="G63" s="96" t="n"/>
      <c r="H63" s="92" t="n"/>
      <c r="I63" s="92" t="n"/>
      <c r="J63" s="92" t="n"/>
      <c r="K63" s="92" t="n"/>
      <c r="L63" s="92" t="n"/>
      <c r="M63" s="97" t="n"/>
      <c r="N63" s="92" t="n"/>
      <c r="O63" s="92" t="n"/>
      <c r="P63" s="92" t="n"/>
    </row>
    <row r="64" ht="32" customHeight="1">
      <c r="A64" s="91" t="n"/>
      <c r="B64" s="91" t="n"/>
      <c r="C64" s="91" t="n"/>
      <c r="D64" s="91" t="n"/>
      <c r="E64" s="91" t="n"/>
      <c r="F64" s="94" t="n"/>
      <c r="G64" s="94" t="n"/>
      <c r="H64" s="91" t="n"/>
      <c r="I64" s="91" t="n"/>
      <c r="J64" s="91" t="n"/>
      <c r="K64" s="91" t="n"/>
      <c r="L64" s="91" t="n"/>
      <c r="M64" s="95" t="n"/>
      <c r="N64" s="91" t="n"/>
      <c r="O64" s="91" t="n"/>
      <c r="P64" s="91" t="n"/>
    </row>
    <row r="65" ht="32" customHeight="1">
      <c r="A65" s="92" t="n"/>
      <c r="B65" s="92" t="n"/>
      <c r="C65" s="92" t="n"/>
      <c r="D65" s="92" t="n"/>
      <c r="E65" s="92" t="n"/>
      <c r="F65" s="96" t="n"/>
      <c r="G65" s="96" t="n"/>
      <c r="H65" s="92" t="n"/>
      <c r="I65" s="92" t="n"/>
      <c r="J65" s="92" t="n"/>
      <c r="K65" s="92" t="n"/>
      <c r="L65" s="92" t="n"/>
      <c r="M65" s="97" t="n"/>
      <c r="N65" s="92" t="n"/>
      <c r="O65" s="92" t="n"/>
      <c r="P65" s="92" t="n"/>
    </row>
    <row r="66" ht="32" customHeight="1">
      <c r="A66" s="91" t="n"/>
      <c r="B66" s="91" t="n"/>
      <c r="C66" s="91" t="n"/>
      <c r="D66" s="91" t="n"/>
      <c r="E66" s="91" t="n"/>
      <c r="F66" s="94" t="n"/>
      <c r="G66" s="94" t="n"/>
      <c r="H66" s="91" t="n"/>
      <c r="I66" s="91" t="n"/>
      <c r="J66" s="91" t="n"/>
      <c r="K66" s="91" t="n"/>
      <c r="L66" s="91" t="n"/>
      <c r="M66" s="95" t="n"/>
      <c r="N66" s="91" t="n"/>
      <c r="O66" s="91" t="n"/>
      <c r="P66" s="91" t="n"/>
    </row>
    <row r="67" ht="32" customHeight="1">
      <c r="A67" s="92" t="n"/>
      <c r="B67" s="92" t="n"/>
      <c r="C67" s="92" t="n"/>
      <c r="D67" s="92" t="n"/>
      <c r="E67" s="92" t="n"/>
      <c r="F67" s="96" t="n"/>
      <c r="G67" s="96" t="n"/>
      <c r="H67" s="92" t="n"/>
      <c r="I67" s="92" t="n"/>
      <c r="J67" s="92" t="n"/>
      <c r="K67" s="92" t="n"/>
      <c r="L67" s="92" t="n"/>
      <c r="M67" s="97" t="n"/>
      <c r="N67" s="92" t="n"/>
      <c r="O67" s="92" t="n"/>
      <c r="P67" s="92" t="n"/>
    </row>
    <row r="68" ht="32" customHeight="1">
      <c r="A68" s="91" t="n"/>
      <c r="B68" s="91" t="n"/>
      <c r="C68" s="91" t="n"/>
      <c r="D68" s="91" t="n"/>
      <c r="E68" s="91" t="n"/>
      <c r="F68" s="94" t="n"/>
      <c r="G68" s="94" t="n"/>
      <c r="H68" s="91" t="n"/>
      <c r="I68" s="91" t="n"/>
      <c r="J68" s="91" t="n"/>
      <c r="K68" s="91" t="n"/>
      <c r="L68" s="91" t="n"/>
      <c r="M68" s="95" t="n"/>
      <c r="N68" s="91" t="n"/>
      <c r="O68" s="91" t="n"/>
      <c r="P68" s="91" t="n"/>
    </row>
    <row r="69" ht="32" customHeight="1">
      <c r="A69" s="92" t="n"/>
      <c r="B69" s="92" t="n"/>
      <c r="C69" s="92" t="n"/>
      <c r="D69" s="92" t="n"/>
      <c r="E69" s="92" t="n"/>
      <c r="F69" s="96" t="n"/>
      <c r="G69" s="96" t="n"/>
      <c r="H69" s="92" t="n"/>
      <c r="I69" s="92" t="n"/>
      <c r="J69" s="92" t="n"/>
      <c r="K69" s="92" t="n"/>
      <c r="L69" s="92" t="n"/>
      <c r="M69" s="97" t="n"/>
      <c r="N69" s="92" t="n"/>
      <c r="O69" s="92" t="n"/>
      <c r="P69" s="92" t="n"/>
    </row>
    <row r="70" ht="32" customHeight="1">
      <c r="A70" s="91" t="n"/>
      <c r="B70" s="91" t="n"/>
      <c r="C70" s="91" t="n"/>
      <c r="D70" s="91" t="n"/>
      <c r="E70" s="91" t="n"/>
      <c r="F70" s="94" t="n"/>
      <c r="G70" s="94" t="n"/>
      <c r="H70" s="91" t="n"/>
      <c r="I70" s="91" t="n"/>
      <c r="J70" s="91" t="n"/>
      <c r="K70" s="91" t="n"/>
      <c r="L70" s="91" t="n"/>
      <c r="M70" s="95" t="n"/>
      <c r="N70" s="91" t="n"/>
      <c r="O70" s="91" t="n"/>
      <c r="P70" s="91" t="n"/>
    </row>
    <row r="71" ht="32" customHeight="1">
      <c r="A71" s="92" t="n"/>
      <c r="B71" s="92" t="n"/>
      <c r="C71" s="92" t="n"/>
      <c r="D71" s="92" t="n"/>
      <c r="E71" s="92" t="n"/>
      <c r="F71" s="96" t="n"/>
      <c r="G71" s="96" t="n"/>
      <c r="H71" s="92" t="n"/>
      <c r="I71" s="92" t="n"/>
      <c r="J71" s="92" t="n"/>
      <c r="K71" s="92" t="n"/>
      <c r="L71" s="92" t="n"/>
      <c r="M71" s="97" t="n"/>
      <c r="N71" s="92" t="n"/>
      <c r="O71" s="92" t="n"/>
      <c r="P71" s="92" t="n"/>
    </row>
    <row r="72" ht="32" customHeight="1">
      <c r="A72" s="91" t="n"/>
      <c r="B72" s="91" t="n"/>
      <c r="C72" s="91" t="n"/>
      <c r="D72" s="91" t="n"/>
      <c r="E72" s="91" t="n"/>
      <c r="F72" s="94" t="n"/>
      <c r="G72" s="94" t="n"/>
      <c r="H72" s="91" t="n"/>
      <c r="I72" s="91" t="n"/>
      <c r="J72" s="91" t="n"/>
      <c r="K72" s="91" t="n"/>
      <c r="L72" s="91" t="n"/>
      <c r="M72" s="95" t="n"/>
      <c r="N72" s="91" t="n"/>
      <c r="O72" s="91" t="n"/>
      <c r="P72" s="91" t="n"/>
    </row>
    <row r="73" ht="32" customHeight="1">
      <c r="A73" s="92" t="n"/>
      <c r="B73" s="92" t="n"/>
      <c r="C73" s="92" t="n"/>
      <c r="D73" s="92" t="n"/>
      <c r="E73" s="92" t="n"/>
      <c r="F73" s="96" t="n"/>
      <c r="G73" s="96" t="n"/>
      <c r="H73" s="92" t="n"/>
      <c r="I73" s="92" t="n"/>
      <c r="J73" s="92" t="n"/>
      <c r="K73" s="92" t="n"/>
      <c r="L73" s="92" t="n"/>
      <c r="M73" s="97" t="n"/>
      <c r="N73" s="92" t="n"/>
      <c r="O73" s="92" t="n"/>
      <c r="P73" s="92" t="n"/>
    </row>
    <row r="74" ht="32" customHeight="1">
      <c r="A74" s="91" t="n"/>
      <c r="B74" s="91" t="n"/>
      <c r="C74" s="91" t="n"/>
      <c r="D74" s="91" t="n"/>
      <c r="E74" s="91" t="n"/>
      <c r="F74" s="94" t="n"/>
      <c r="G74" s="94" t="n"/>
      <c r="H74" s="91" t="n"/>
      <c r="I74" s="91" t="n"/>
      <c r="J74" s="91" t="n"/>
      <c r="K74" s="91" t="n"/>
      <c r="L74" s="91" t="n"/>
      <c r="M74" s="95" t="n"/>
      <c r="N74" s="91" t="n"/>
      <c r="O74" s="91" t="n"/>
      <c r="P74" s="91" t="n"/>
    </row>
    <row r="75" ht="32" customHeight="1">
      <c r="A75" s="92" t="n"/>
      <c r="B75" s="92" t="n"/>
      <c r="C75" s="92" t="n"/>
      <c r="D75" s="92" t="n"/>
      <c r="E75" s="92" t="n"/>
      <c r="F75" s="96" t="n"/>
      <c r="G75" s="96" t="n"/>
      <c r="H75" s="92" t="n"/>
      <c r="I75" s="92" t="n"/>
      <c r="J75" s="92" t="n"/>
      <c r="K75" s="92" t="n"/>
      <c r="L75" s="92" t="n"/>
      <c r="M75" s="97" t="n"/>
      <c r="N75" s="92" t="n"/>
      <c r="O75" s="92" t="n"/>
      <c r="P75" s="92" t="n"/>
    </row>
    <row r="76" ht="32" customHeight="1">
      <c r="A76" s="91" t="n"/>
      <c r="B76" s="91" t="n"/>
      <c r="C76" s="91" t="n"/>
      <c r="D76" s="91" t="n"/>
      <c r="E76" s="91" t="n"/>
      <c r="F76" s="94" t="n"/>
      <c r="G76" s="94" t="n"/>
      <c r="H76" s="91" t="n"/>
      <c r="I76" s="91" t="n"/>
      <c r="J76" s="91" t="n"/>
      <c r="K76" s="91" t="n"/>
      <c r="L76" s="91" t="n"/>
      <c r="M76" s="95" t="n"/>
      <c r="N76" s="91" t="n"/>
      <c r="O76" s="91" t="n"/>
      <c r="P76" s="91" t="n"/>
    </row>
    <row r="77" ht="32" customHeight="1">
      <c r="A77" s="92" t="n"/>
      <c r="B77" s="92" t="n"/>
      <c r="C77" s="92" t="n"/>
      <c r="D77" s="92" t="n"/>
      <c r="E77" s="92" t="n"/>
      <c r="F77" s="96" t="n"/>
      <c r="G77" s="96" t="n"/>
      <c r="H77" s="92" t="n"/>
      <c r="I77" s="92" t="n"/>
      <c r="J77" s="92" t="n"/>
      <c r="K77" s="92" t="n"/>
      <c r="L77" s="92" t="n"/>
      <c r="M77" s="97" t="n"/>
      <c r="N77" s="92" t="n"/>
      <c r="O77" s="92" t="n"/>
      <c r="P77" s="92" t="n"/>
    </row>
    <row r="78" ht="32" customHeight="1">
      <c r="A78" s="91" t="n"/>
      <c r="B78" s="91" t="n"/>
      <c r="C78" s="91" t="n"/>
      <c r="D78" s="91" t="n"/>
      <c r="E78" s="91" t="n"/>
      <c r="F78" s="94" t="n"/>
      <c r="G78" s="94" t="n"/>
      <c r="H78" s="91" t="n"/>
      <c r="I78" s="91" t="n"/>
      <c r="J78" s="91" t="n"/>
      <c r="K78" s="91" t="n"/>
      <c r="L78" s="91" t="n"/>
      <c r="M78" s="95" t="n"/>
      <c r="N78" s="91" t="n"/>
      <c r="O78" s="91" t="n"/>
      <c r="P78" s="91" t="n"/>
    </row>
    <row r="79" ht="32" customHeight="1">
      <c r="A79" s="92" t="n"/>
      <c r="B79" s="92" t="n"/>
      <c r="C79" s="92" t="n"/>
      <c r="D79" s="92" t="n"/>
      <c r="E79" s="92" t="n"/>
      <c r="F79" s="96" t="n"/>
      <c r="G79" s="96" t="n"/>
      <c r="H79" s="92" t="n"/>
      <c r="I79" s="92" t="n"/>
      <c r="J79" s="92" t="n"/>
      <c r="K79" s="92" t="n"/>
      <c r="L79" s="92" t="n"/>
      <c r="M79" s="97" t="n"/>
      <c r="N79" s="92" t="n"/>
      <c r="O79" s="92" t="n"/>
      <c r="P79" s="92" t="n"/>
    </row>
    <row r="80" ht="32" customHeight="1">
      <c r="A80" s="91" t="n"/>
      <c r="B80" s="91" t="n"/>
      <c r="C80" s="91" t="n"/>
      <c r="D80" s="91" t="n"/>
      <c r="E80" s="91" t="n"/>
      <c r="F80" s="94" t="n"/>
      <c r="G80" s="94" t="n"/>
      <c r="H80" s="91" t="n"/>
      <c r="I80" s="91" t="n"/>
      <c r="J80" s="91" t="n"/>
      <c r="K80" s="91" t="n"/>
      <c r="L80" s="91" t="n"/>
      <c r="M80" s="95" t="n"/>
      <c r="N80" s="91" t="n"/>
      <c r="O80" s="91" t="n"/>
      <c r="P80" s="91" t="n"/>
    </row>
    <row r="81" ht="32" customHeight="1">
      <c r="A81" s="92" t="n"/>
      <c r="B81" s="92" t="n"/>
      <c r="C81" s="92" t="n"/>
      <c r="D81" s="92" t="n"/>
      <c r="E81" s="92" t="n"/>
      <c r="F81" s="96" t="n"/>
      <c r="G81" s="96" t="n"/>
      <c r="H81" s="92" t="n"/>
      <c r="I81" s="92" t="n"/>
      <c r="J81" s="92" t="n"/>
      <c r="K81" s="92" t="n"/>
      <c r="L81" s="92" t="n"/>
      <c r="M81" s="97" t="n"/>
      <c r="N81" s="92" t="n"/>
      <c r="O81" s="92" t="n"/>
      <c r="P81" s="92" t="n"/>
    </row>
    <row r="82" ht="32" customHeight="1">
      <c r="A82" s="91" t="n"/>
      <c r="B82" s="91" t="n"/>
      <c r="C82" s="91" t="n"/>
      <c r="D82" s="91" t="n"/>
      <c r="E82" s="91" t="n"/>
      <c r="F82" s="94" t="n"/>
      <c r="G82" s="94" t="n"/>
      <c r="H82" s="91" t="n"/>
      <c r="I82" s="91" t="n"/>
      <c r="J82" s="91" t="n"/>
      <c r="K82" s="91" t="n"/>
      <c r="L82" s="91" t="n"/>
      <c r="M82" s="95" t="n"/>
      <c r="N82" s="91" t="n"/>
      <c r="O82" s="91" t="n"/>
      <c r="P82" s="91" t="n"/>
    </row>
    <row r="83" ht="32" customHeight="1">
      <c r="A83" s="92" t="n"/>
      <c r="B83" s="92" t="n"/>
      <c r="C83" s="92" t="n"/>
      <c r="D83" s="92" t="n"/>
      <c r="E83" s="92" t="n"/>
      <c r="F83" s="96" t="n"/>
      <c r="G83" s="96" t="n"/>
      <c r="H83" s="92" t="n"/>
      <c r="I83" s="92" t="n"/>
      <c r="J83" s="92" t="n"/>
      <c r="K83" s="92" t="n"/>
      <c r="L83" s="92" t="n"/>
      <c r="M83" s="97" t="n"/>
      <c r="N83" s="92" t="n"/>
      <c r="O83" s="92" t="n"/>
      <c r="P83" s="92" t="n"/>
    </row>
    <row r="84" ht="32" customHeight="1">
      <c r="A84" s="91" t="n"/>
      <c r="B84" s="91" t="n"/>
      <c r="C84" s="91" t="n"/>
      <c r="D84" s="91" t="n"/>
      <c r="E84" s="91" t="n"/>
      <c r="F84" s="94" t="n"/>
      <c r="G84" s="94" t="n"/>
      <c r="H84" s="91" t="n"/>
      <c r="I84" s="91" t="n"/>
      <c r="J84" s="91" t="n"/>
      <c r="K84" s="91" t="n"/>
      <c r="L84" s="91" t="n"/>
      <c r="M84" s="95" t="n"/>
      <c r="N84" s="91" t="n"/>
      <c r="O84" s="91" t="n"/>
      <c r="P84" s="91" t="n"/>
    </row>
    <row r="85" ht="32" customHeight="1">
      <c r="A85" s="92" t="n"/>
      <c r="B85" s="92" t="n"/>
      <c r="C85" s="92" t="n"/>
      <c r="D85" s="92" t="n"/>
      <c r="E85" s="92" t="n"/>
      <c r="F85" s="96" t="n"/>
      <c r="G85" s="96" t="n"/>
      <c r="H85" s="92" t="n"/>
      <c r="I85" s="92" t="n"/>
      <c r="J85" s="92" t="n"/>
      <c r="K85" s="92" t="n"/>
      <c r="L85" s="92" t="n"/>
      <c r="M85" s="97" t="n"/>
      <c r="N85" s="92" t="n"/>
      <c r="O85" s="92" t="n"/>
      <c r="P85" s="92" t="n"/>
    </row>
    <row r="86" ht="32" customHeight="1">
      <c r="A86" s="91" t="n"/>
      <c r="B86" s="91" t="n"/>
      <c r="C86" s="91" t="n"/>
      <c r="D86" s="91" t="n"/>
      <c r="E86" s="91" t="n"/>
      <c r="F86" s="94" t="n"/>
      <c r="G86" s="94" t="n"/>
      <c r="H86" s="91" t="n"/>
      <c r="I86" s="91" t="n"/>
      <c r="J86" s="91" t="n"/>
      <c r="K86" s="91" t="n"/>
      <c r="L86" s="91" t="n"/>
      <c r="M86" s="95" t="n"/>
      <c r="N86" s="91" t="n"/>
      <c r="O86" s="91" t="n"/>
      <c r="P86" s="91" t="n"/>
    </row>
    <row r="87" ht="32" customHeight="1">
      <c r="A87" s="92" t="n"/>
      <c r="B87" s="92" t="n"/>
      <c r="C87" s="92" t="n"/>
      <c r="D87" s="92" t="n"/>
      <c r="E87" s="92" t="n"/>
      <c r="F87" s="96" t="n"/>
      <c r="G87" s="96" t="n"/>
      <c r="H87" s="92" t="n"/>
      <c r="I87" s="92" t="n"/>
      <c r="J87" s="92" t="n"/>
      <c r="K87" s="92" t="n"/>
      <c r="L87" s="92" t="n"/>
      <c r="M87" s="97" t="n"/>
      <c r="N87" s="92" t="n"/>
      <c r="O87" s="92" t="n"/>
      <c r="P87" s="92" t="n"/>
    </row>
    <row r="88" ht="32" customHeight="1">
      <c r="A88" s="91" t="n"/>
      <c r="B88" s="91" t="n"/>
      <c r="C88" s="91" t="n"/>
      <c r="D88" s="91" t="n"/>
      <c r="E88" s="91" t="n"/>
      <c r="F88" s="94" t="n"/>
      <c r="G88" s="94" t="n"/>
      <c r="H88" s="91" t="n"/>
      <c r="I88" s="91" t="n"/>
      <c r="J88" s="91" t="n"/>
      <c r="K88" s="91" t="n"/>
      <c r="L88" s="91" t="n"/>
      <c r="M88" s="95" t="n"/>
      <c r="N88" s="91" t="n"/>
      <c r="O88" s="91" t="n"/>
      <c r="P88" s="91" t="n"/>
    </row>
    <row r="89" ht="32" customHeight="1">
      <c r="A89" s="92" t="n"/>
      <c r="B89" s="92" t="n"/>
      <c r="C89" s="92" t="n"/>
      <c r="D89" s="92" t="n"/>
      <c r="E89" s="92" t="n"/>
      <c r="F89" s="96" t="n"/>
      <c r="G89" s="96" t="n"/>
      <c r="H89" s="92" t="n"/>
      <c r="I89" s="92" t="n"/>
      <c r="J89" s="92" t="n"/>
      <c r="K89" s="92" t="n"/>
      <c r="L89" s="92" t="n"/>
      <c r="M89" s="97" t="n"/>
      <c r="N89" s="92" t="n"/>
      <c r="O89" s="92" t="n"/>
      <c r="P89" s="92" t="n"/>
    </row>
    <row r="90" ht="32" customHeight="1">
      <c r="A90" s="91" t="n"/>
      <c r="B90" s="91" t="n"/>
      <c r="C90" s="91" t="n"/>
      <c r="D90" s="91" t="n"/>
      <c r="E90" s="91" t="n"/>
      <c r="F90" s="94" t="n"/>
      <c r="G90" s="94" t="n"/>
      <c r="H90" s="91" t="n"/>
      <c r="I90" s="91" t="n"/>
      <c r="J90" s="91" t="n"/>
      <c r="K90" s="91" t="n"/>
      <c r="L90" s="91" t="n"/>
      <c r="M90" s="95" t="n"/>
      <c r="N90" s="91" t="n"/>
      <c r="O90" s="91" t="n"/>
      <c r="P90" s="91" t="n"/>
    </row>
    <row r="91" ht="32" customHeight="1">
      <c r="A91" s="92" t="n"/>
      <c r="B91" s="92" t="n"/>
      <c r="C91" s="92" t="n"/>
      <c r="D91" s="92" t="n"/>
      <c r="E91" s="92" t="n"/>
      <c r="F91" s="96" t="n"/>
      <c r="G91" s="96" t="n"/>
      <c r="H91" s="92" t="n"/>
      <c r="I91" s="92" t="n"/>
      <c r="J91" s="92" t="n"/>
      <c r="K91" s="92" t="n"/>
      <c r="L91" s="92" t="n"/>
      <c r="M91" s="97" t="n"/>
      <c r="N91" s="92" t="n"/>
      <c r="O91" s="92" t="n"/>
      <c r="P91" s="92" t="n"/>
    </row>
    <row r="92" ht="32" customHeight="1">
      <c r="A92" s="91" t="n"/>
      <c r="B92" s="91" t="n"/>
      <c r="C92" s="91" t="n"/>
      <c r="D92" s="91" t="n"/>
      <c r="E92" s="91" t="n"/>
      <c r="F92" s="94" t="n"/>
      <c r="G92" s="94" t="n"/>
      <c r="H92" s="91" t="n"/>
      <c r="I92" s="91" t="n"/>
      <c r="J92" s="91" t="n"/>
      <c r="K92" s="91" t="n"/>
      <c r="L92" s="91" t="n"/>
      <c r="M92" s="95" t="n"/>
      <c r="N92" s="91" t="n"/>
      <c r="O92" s="91" t="n"/>
      <c r="P92" s="91" t="n"/>
    </row>
    <row r="93" ht="32" customHeight="1">
      <c r="A93" s="92" t="n"/>
      <c r="B93" s="92" t="n"/>
      <c r="C93" s="92" t="n"/>
      <c r="D93" s="92" t="n"/>
      <c r="E93" s="92" t="n"/>
      <c r="F93" s="96" t="n"/>
      <c r="G93" s="96" t="n"/>
      <c r="H93" s="92" t="n"/>
      <c r="I93" s="92" t="n"/>
      <c r="J93" s="92" t="n"/>
      <c r="K93" s="92" t="n"/>
      <c r="L93" s="92" t="n"/>
      <c r="M93" s="97" t="n"/>
      <c r="N93" s="92" t="n"/>
      <c r="O93" s="92" t="n"/>
      <c r="P93" s="92" t="n"/>
    </row>
    <row r="94" ht="32" customHeight="1">
      <c r="A94" s="91" t="n"/>
      <c r="B94" s="91" t="n"/>
      <c r="C94" s="91" t="n"/>
      <c r="D94" s="91" t="n"/>
      <c r="E94" s="91" t="n"/>
      <c r="F94" s="94" t="n"/>
      <c r="G94" s="94" t="n"/>
      <c r="H94" s="91" t="n"/>
      <c r="I94" s="91" t="n"/>
      <c r="J94" s="91" t="n"/>
      <c r="K94" s="91" t="n"/>
      <c r="L94" s="91" t="n"/>
      <c r="M94" s="95" t="n"/>
      <c r="N94" s="91" t="n"/>
      <c r="O94" s="91" t="n"/>
      <c r="P94" s="91" t="n"/>
    </row>
    <row r="95" ht="32" customHeight="1">
      <c r="A95" s="92" t="n"/>
      <c r="B95" s="92" t="n"/>
      <c r="C95" s="92" t="n"/>
      <c r="D95" s="92" t="n"/>
      <c r="E95" s="92" t="n"/>
      <c r="F95" s="96" t="n"/>
      <c r="G95" s="96" t="n"/>
      <c r="H95" s="92" t="n"/>
      <c r="I95" s="92" t="n"/>
      <c r="J95" s="92" t="n"/>
      <c r="K95" s="92" t="n"/>
      <c r="L95" s="92" t="n"/>
      <c r="M95" s="97" t="n"/>
      <c r="N95" s="92" t="n"/>
      <c r="O95" s="92" t="n"/>
      <c r="P95" s="92" t="n"/>
    </row>
    <row r="96" ht="32" customHeight="1">
      <c r="A96" s="91" t="n"/>
      <c r="B96" s="91" t="n"/>
      <c r="C96" s="91" t="n"/>
      <c r="D96" s="91" t="n"/>
      <c r="E96" s="91" t="n"/>
      <c r="F96" s="94" t="n"/>
      <c r="G96" s="94" t="n"/>
      <c r="H96" s="91" t="n"/>
      <c r="I96" s="91" t="n"/>
      <c r="J96" s="91" t="n"/>
      <c r="K96" s="91" t="n"/>
      <c r="L96" s="91" t="n"/>
      <c r="M96" s="95" t="n"/>
      <c r="N96" s="91" t="n"/>
      <c r="O96" s="91" t="n"/>
      <c r="P96" s="91" t="n"/>
    </row>
    <row r="97" ht="32" customHeight="1">
      <c r="A97" s="92" t="n"/>
      <c r="B97" s="92" t="n"/>
      <c r="C97" s="92" t="n"/>
      <c r="D97" s="92" t="n"/>
      <c r="E97" s="92" t="n"/>
      <c r="F97" s="96" t="n"/>
      <c r="G97" s="96" t="n"/>
      <c r="H97" s="92" t="n"/>
      <c r="I97" s="92" t="n"/>
      <c r="J97" s="92" t="n"/>
      <c r="K97" s="92" t="n"/>
      <c r="L97" s="92" t="n"/>
      <c r="M97" s="97" t="n"/>
      <c r="N97" s="92" t="n"/>
      <c r="O97" s="92" t="n"/>
      <c r="P97" s="92" t="n"/>
    </row>
    <row r="98" ht="32" customHeight="1">
      <c r="A98" s="91" t="n"/>
      <c r="B98" s="91" t="n"/>
      <c r="C98" s="91" t="n"/>
      <c r="D98" s="91" t="n"/>
      <c r="E98" s="91" t="n"/>
      <c r="F98" s="94" t="n"/>
      <c r="G98" s="94" t="n"/>
      <c r="H98" s="91" t="n"/>
      <c r="I98" s="91" t="n"/>
      <c r="J98" s="91" t="n"/>
      <c r="K98" s="91" t="n"/>
      <c r="L98" s="91" t="n"/>
      <c r="M98" s="95" t="n"/>
      <c r="N98" s="91" t="n"/>
      <c r="O98" s="91" t="n"/>
      <c r="P98" s="91" t="n"/>
    </row>
    <row r="99" ht="32" customHeight="1">
      <c r="A99" s="92" t="n"/>
      <c r="B99" s="92" t="n"/>
      <c r="C99" s="92" t="n"/>
      <c r="D99" s="92" t="n"/>
      <c r="E99" s="92" t="n"/>
      <c r="F99" s="96" t="n"/>
      <c r="G99" s="96" t="n"/>
      <c r="H99" s="92" t="n"/>
      <c r="I99" s="92" t="n"/>
      <c r="J99" s="92" t="n"/>
      <c r="K99" s="92" t="n"/>
      <c r="L99" s="92" t="n"/>
      <c r="M99" s="97" t="n"/>
      <c r="N99" s="92" t="n"/>
      <c r="O99" s="92" t="n"/>
      <c r="P99" s="92" t="n"/>
    </row>
    <row r="100" ht="32" customHeight="1">
      <c r="A100" s="91" t="n"/>
      <c r="B100" s="91" t="n"/>
      <c r="C100" s="91" t="n"/>
      <c r="D100" s="91" t="n"/>
      <c r="E100" s="91" t="n"/>
      <c r="F100" s="94" t="n"/>
      <c r="G100" s="94" t="n"/>
      <c r="H100" s="91" t="n"/>
      <c r="I100" s="91" t="n"/>
      <c r="J100" s="91" t="n"/>
      <c r="K100" s="91" t="n"/>
      <c r="L100" s="91" t="n"/>
      <c r="M100" s="95" t="n"/>
      <c r="N100" s="91" t="n"/>
      <c r="O100" s="91" t="n"/>
      <c r="P100" s="91" t="n"/>
    </row>
    <row r="101" ht="32" customHeight="1">
      <c r="A101" s="92" t="n"/>
      <c r="B101" s="92" t="n"/>
      <c r="C101" s="92" t="n"/>
      <c r="D101" s="92" t="n"/>
      <c r="E101" s="92" t="n"/>
      <c r="F101" s="96" t="n"/>
      <c r="G101" s="96" t="n"/>
      <c r="H101" s="92" t="n"/>
      <c r="I101" s="92" t="n"/>
      <c r="J101" s="92" t="n"/>
      <c r="K101" s="92" t="n"/>
      <c r="L101" s="92" t="n"/>
      <c r="M101" s="97" t="n"/>
      <c r="N101" s="92" t="n"/>
      <c r="O101" s="92" t="n"/>
      <c r="P101" s="92" t="n"/>
    </row>
    <row r="102" ht="32" customHeight="1">
      <c r="A102" s="91" t="n"/>
      <c r="B102" s="91" t="n"/>
      <c r="C102" s="91" t="n"/>
      <c r="D102" s="91" t="n"/>
      <c r="E102" s="91" t="n"/>
      <c r="F102" s="94" t="n"/>
      <c r="G102" s="94" t="n"/>
      <c r="H102" s="91" t="n"/>
      <c r="I102" s="91" t="n"/>
      <c r="J102" s="91" t="n"/>
      <c r="K102" s="91" t="n"/>
      <c r="L102" s="91" t="n"/>
      <c r="M102" s="95" t="n"/>
      <c r="N102" s="91" t="n"/>
      <c r="O102" s="91" t="n"/>
      <c r="P102" s="91" t="n"/>
    </row>
    <row r="103" ht="32" customHeight="1">
      <c r="A103" s="92" t="n"/>
      <c r="B103" s="92" t="n"/>
      <c r="C103" s="92" t="n"/>
      <c r="D103" s="92" t="n"/>
      <c r="E103" s="92" t="n"/>
      <c r="F103" s="96" t="n"/>
      <c r="G103" s="96" t="n"/>
      <c r="H103" s="92" t="n"/>
      <c r="I103" s="92" t="n"/>
      <c r="J103" s="92" t="n"/>
      <c r="K103" s="92" t="n"/>
      <c r="L103" s="92" t="n"/>
      <c r="M103" s="97" t="n"/>
      <c r="N103" s="92" t="n"/>
      <c r="O103" s="92" t="n"/>
      <c r="P103" s="92" t="n"/>
    </row>
    <row r="104" ht="32" customHeight="1">
      <c r="A104" s="91" t="n"/>
      <c r="B104" s="91" t="n"/>
      <c r="C104" s="91" t="n"/>
      <c r="D104" s="91" t="n"/>
      <c r="E104" s="91" t="n"/>
      <c r="F104" s="94" t="n"/>
      <c r="G104" s="94" t="n"/>
      <c r="H104" s="91" t="n"/>
      <c r="I104" s="91" t="n"/>
      <c r="J104" s="91" t="n"/>
      <c r="K104" s="91" t="n"/>
      <c r="L104" s="91" t="n"/>
      <c r="M104" s="95" t="n"/>
      <c r="N104" s="91" t="n"/>
      <c r="O104" s="91" t="n"/>
      <c r="P104" s="91" t="n"/>
    </row>
    <row r="105" ht="32" customHeight="1">
      <c r="A105" s="92" t="n"/>
      <c r="B105" s="92" t="n"/>
      <c r="C105" s="92" t="n"/>
      <c r="D105" s="92" t="n"/>
      <c r="E105" s="92" t="n"/>
      <c r="F105" s="96" t="n"/>
      <c r="G105" s="96" t="n"/>
      <c r="H105" s="92" t="n"/>
      <c r="I105" s="92" t="n"/>
      <c r="J105" s="92" t="n"/>
      <c r="K105" s="92" t="n"/>
      <c r="L105" s="92" t="n"/>
      <c r="M105" s="97" t="n"/>
      <c r="N105" s="92" t="n"/>
      <c r="O105" s="92" t="n"/>
      <c r="P105" s="92" t="n"/>
    </row>
    <row r="106" ht="32" customHeight="1">
      <c r="A106" s="91" t="n"/>
      <c r="B106" s="91" t="n"/>
      <c r="C106" s="91" t="n"/>
      <c r="D106" s="91" t="n"/>
      <c r="E106" s="91" t="n"/>
      <c r="F106" s="94" t="n"/>
      <c r="G106" s="94" t="n"/>
      <c r="H106" s="91" t="n"/>
      <c r="I106" s="91" t="n"/>
      <c r="J106" s="91" t="n"/>
      <c r="K106" s="91" t="n"/>
      <c r="L106" s="91" t="n"/>
      <c r="M106" s="95" t="n"/>
      <c r="N106" s="91" t="n"/>
      <c r="O106" s="91" t="n"/>
      <c r="P106" s="91" t="n"/>
    </row>
    <row r="107" ht="32" customHeight="1">
      <c r="A107" s="92" t="n"/>
      <c r="B107" s="92" t="n"/>
      <c r="C107" s="92" t="n"/>
      <c r="D107" s="92" t="n"/>
      <c r="E107" s="92" t="n"/>
      <c r="F107" s="96" t="n"/>
      <c r="G107" s="96" t="n"/>
      <c r="H107" s="92" t="n"/>
      <c r="I107" s="92" t="n"/>
      <c r="J107" s="92" t="n"/>
      <c r="K107" s="92" t="n"/>
      <c r="L107" s="92" t="n"/>
      <c r="M107" s="97" t="n"/>
      <c r="N107" s="92" t="n"/>
      <c r="O107" s="92" t="n"/>
      <c r="P107" s="92" t="n"/>
    </row>
    <row r="108" ht="32" customHeight="1">
      <c r="A108" s="91" t="n"/>
      <c r="B108" s="91" t="n"/>
      <c r="C108" s="91" t="n"/>
      <c r="D108" s="91" t="n"/>
      <c r="E108" s="91" t="n"/>
      <c r="F108" s="94" t="n"/>
      <c r="G108" s="94" t="n"/>
      <c r="H108" s="91" t="n"/>
      <c r="I108" s="91" t="n"/>
      <c r="J108" s="91" t="n"/>
      <c r="K108" s="91" t="n"/>
      <c r="L108" s="91" t="n"/>
      <c r="M108" s="95" t="n"/>
      <c r="N108" s="91" t="n"/>
      <c r="O108" s="91" t="n"/>
      <c r="P108" s="91" t="n"/>
    </row>
    <row r="109" ht="32" customHeight="1">
      <c r="A109" s="92" t="n"/>
      <c r="B109" s="92" t="n"/>
      <c r="C109" s="92" t="n"/>
      <c r="D109" s="92" t="n"/>
      <c r="E109" s="92" t="n"/>
      <c r="F109" s="96" t="n"/>
      <c r="G109" s="96" t="n"/>
      <c r="H109" s="92" t="n"/>
      <c r="I109" s="92" t="n"/>
      <c r="J109" s="92" t="n"/>
      <c r="K109" s="92" t="n"/>
      <c r="L109" s="92" t="n"/>
      <c r="M109" s="97" t="n"/>
      <c r="N109" s="92" t="n"/>
      <c r="O109" s="92" t="n"/>
      <c r="P109" s="92" t="n"/>
    </row>
    <row r="110" ht="32" customHeight="1">
      <c r="A110" s="91" t="n"/>
      <c r="B110" s="91" t="n"/>
      <c r="C110" s="91" t="n"/>
      <c r="D110" s="91" t="n"/>
      <c r="E110" s="91" t="n"/>
      <c r="F110" s="94" t="n"/>
      <c r="G110" s="94" t="n"/>
      <c r="H110" s="91" t="n"/>
      <c r="I110" s="91" t="n"/>
      <c r="J110" s="91" t="n"/>
      <c r="K110" s="91" t="n"/>
      <c r="L110" s="91" t="n"/>
      <c r="M110" s="95" t="n"/>
      <c r="N110" s="91" t="n"/>
      <c r="O110" s="91" t="n"/>
      <c r="P110" s="91" t="n"/>
    </row>
    <row r="111" ht="32" customHeight="1">
      <c r="A111" s="92" t="n"/>
      <c r="B111" s="92" t="n"/>
      <c r="C111" s="92" t="n"/>
      <c r="D111" s="92" t="n"/>
      <c r="E111" s="92" t="n"/>
      <c r="F111" s="96" t="n"/>
      <c r="G111" s="96" t="n"/>
      <c r="H111" s="92" t="n"/>
      <c r="I111" s="92" t="n"/>
      <c r="J111" s="92" t="n"/>
      <c r="K111" s="92" t="n"/>
      <c r="L111" s="92" t="n"/>
      <c r="M111" s="97" t="n"/>
      <c r="N111" s="92" t="n"/>
      <c r="O111" s="92" t="n"/>
      <c r="P111" s="92" t="n"/>
    </row>
    <row r="112" ht="32" customHeight="1">
      <c r="A112" s="91" t="n"/>
      <c r="B112" s="91" t="n"/>
      <c r="C112" s="91" t="n"/>
      <c r="D112" s="91" t="n"/>
      <c r="E112" s="91" t="n"/>
      <c r="F112" s="94" t="n"/>
      <c r="G112" s="94" t="n"/>
      <c r="H112" s="91" t="n"/>
      <c r="I112" s="91" t="n"/>
      <c r="J112" s="91" t="n"/>
      <c r="K112" s="91" t="n"/>
      <c r="L112" s="91" t="n"/>
      <c r="M112" s="95" t="n"/>
      <c r="N112" s="91" t="n"/>
      <c r="O112" s="91" t="n"/>
      <c r="P112" s="91" t="n"/>
    </row>
    <row r="113" ht="32" customHeight="1">
      <c r="A113" s="92" t="n"/>
      <c r="B113" s="92" t="n"/>
      <c r="C113" s="92" t="n"/>
      <c r="D113" s="92" t="n"/>
      <c r="E113" s="92" t="n"/>
      <c r="F113" s="96" t="n"/>
      <c r="G113" s="96" t="n"/>
      <c r="H113" s="92" t="n"/>
      <c r="I113" s="92" t="n"/>
      <c r="J113" s="92" t="n"/>
      <c r="K113" s="92" t="n"/>
      <c r="L113" s="92" t="n"/>
      <c r="M113" s="97" t="n"/>
      <c r="N113" s="92" t="n"/>
      <c r="O113" s="92" t="n"/>
      <c r="P113" s="92" t="n"/>
    </row>
    <row r="114" ht="32" customHeight="1">
      <c r="A114" s="91" t="n"/>
      <c r="B114" s="91" t="n"/>
      <c r="C114" s="91" t="n"/>
      <c r="D114" s="91" t="n"/>
      <c r="E114" s="91" t="n"/>
      <c r="F114" s="94" t="n"/>
      <c r="G114" s="94" t="n"/>
      <c r="H114" s="91" t="n"/>
      <c r="I114" s="91" t="n"/>
      <c r="J114" s="91" t="n"/>
      <c r="K114" s="91" t="n"/>
      <c r="L114" s="91" t="n"/>
      <c r="M114" s="95" t="n"/>
      <c r="N114" s="91" t="n"/>
      <c r="O114" s="91" t="n"/>
      <c r="P114" s="91" t="n"/>
    </row>
    <row r="115" ht="32" customHeight="1">
      <c r="A115" s="92" t="n"/>
      <c r="B115" s="92" t="n"/>
      <c r="C115" s="92" t="n"/>
      <c r="D115" s="92" t="n"/>
      <c r="E115" s="92" t="n"/>
      <c r="F115" s="96" t="n"/>
      <c r="G115" s="96" t="n"/>
      <c r="H115" s="92" t="n"/>
      <c r="I115" s="92" t="n"/>
      <c r="J115" s="92" t="n"/>
      <c r="K115" s="92" t="n"/>
      <c r="L115" s="92" t="n"/>
      <c r="M115" s="97" t="n"/>
      <c r="N115" s="92" t="n"/>
      <c r="O115" s="92" t="n"/>
      <c r="P115" s="92" t="n"/>
    </row>
    <row r="116" ht="32" customHeight="1">
      <c r="A116" s="91" t="n"/>
      <c r="B116" s="91" t="n"/>
      <c r="C116" s="91" t="n"/>
      <c r="D116" s="91" t="n"/>
      <c r="E116" s="91" t="n"/>
      <c r="F116" s="94" t="n"/>
      <c r="G116" s="94" t="n"/>
      <c r="H116" s="91" t="n"/>
      <c r="I116" s="91" t="n"/>
      <c r="J116" s="91" t="n"/>
      <c r="K116" s="91" t="n"/>
      <c r="L116" s="91" t="n"/>
      <c r="M116" s="95" t="n"/>
      <c r="N116" s="91" t="n"/>
      <c r="O116" s="91" t="n"/>
      <c r="P116" s="91" t="n"/>
    </row>
    <row r="117" ht="32" customHeight="1">
      <c r="A117" s="92" t="n"/>
      <c r="B117" s="92" t="n"/>
      <c r="C117" s="92" t="n"/>
      <c r="D117" s="92" t="n"/>
      <c r="E117" s="92" t="n"/>
      <c r="F117" s="96" t="n"/>
      <c r="G117" s="96" t="n"/>
      <c r="H117" s="92" t="n"/>
      <c r="I117" s="92" t="n"/>
      <c r="J117" s="92" t="n"/>
      <c r="K117" s="92" t="n"/>
      <c r="L117" s="92" t="n"/>
      <c r="M117" s="97" t="n"/>
      <c r="N117" s="92" t="n"/>
      <c r="O117" s="92" t="n"/>
      <c r="P117" s="92" t="n"/>
    </row>
    <row r="118" ht="32" customHeight="1">
      <c r="A118" s="91" t="n"/>
      <c r="B118" s="91" t="n"/>
      <c r="C118" s="91" t="n"/>
      <c r="D118" s="91" t="n"/>
      <c r="E118" s="91" t="n"/>
      <c r="F118" s="94" t="n"/>
      <c r="G118" s="94" t="n"/>
      <c r="H118" s="91" t="n"/>
      <c r="I118" s="91" t="n"/>
      <c r="J118" s="91" t="n"/>
      <c r="K118" s="91" t="n"/>
      <c r="L118" s="91" t="n"/>
      <c r="M118" s="95" t="n"/>
      <c r="N118" s="91" t="n"/>
      <c r="O118" s="91" t="n"/>
      <c r="P118" s="91" t="n"/>
    </row>
    <row r="119" ht="32" customHeight="1">
      <c r="A119" s="92" t="n"/>
      <c r="B119" s="92" t="n"/>
      <c r="C119" s="92" t="n"/>
      <c r="D119" s="92" t="n"/>
      <c r="E119" s="92" t="n"/>
      <c r="F119" s="96" t="n"/>
      <c r="G119" s="96" t="n"/>
      <c r="H119" s="92" t="n"/>
      <c r="I119" s="92" t="n"/>
      <c r="J119" s="92" t="n"/>
      <c r="K119" s="92" t="n"/>
      <c r="L119" s="92" t="n"/>
      <c r="M119" s="97" t="n"/>
      <c r="N119" s="92" t="n"/>
      <c r="O119" s="92" t="n"/>
      <c r="P119" s="92" t="n"/>
    </row>
    <row r="120" ht="32" customHeight="1">
      <c r="A120" s="91" t="n"/>
      <c r="B120" s="91" t="n"/>
      <c r="C120" s="91" t="n"/>
      <c r="D120" s="91" t="n"/>
      <c r="E120" s="91" t="n"/>
      <c r="F120" s="94" t="n"/>
      <c r="G120" s="94" t="n"/>
      <c r="H120" s="91" t="n"/>
      <c r="I120" s="91" t="n"/>
      <c r="J120" s="91" t="n"/>
      <c r="K120" s="91" t="n"/>
      <c r="L120" s="91" t="n"/>
      <c r="M120" s="95" t="n"/>
      <c r="N120" s="91" t="n"/>
      <c r="O120" s="91" t="n"/>
      <c r="P120" s="91" t="n"/>
    </row>
    <row r="121" ht="32" customHeight="1">
      <c r="A121" s="92" t="n"/>
      <c r="B121" s="92" t="n"/>
      <c r="C121" s="92" t="n"/>
      <c r="D121" s="92" t="n"/>
      <c r="E121" s="92" t="n"/>
      <c r="F121" s="96" t="n"/>
      <c r="G121" s="96" t="n"/>
      <c r="H121" s="92" t="n"/>
      <c r="I121" s="92" t="n"/>
      <c r="J121" s="92" t="n"/>
      <c r="K121" s="92" t="n"/>
      <c r="L121" s="92" t="n"/>
      <c r="M121" s="97" t="n"/>
      <c r="N121" s="92" t="n"/>
      <c r="O121" s="92" t="n"/>
      <c r="P121" s="92" t="n"/>
    </row>
    <row r="122" ht="32" customHeight="1">
      <c r="A122" s="91" t="n"/>
      <c r="B122" s="91" t="n"/>
      <c r="C122" s="91" t="n"/>
      <c r="D122" s="91" t="n"/>
      <c r="E122" s="91" t="n"/>
      <c r="F122" s="94" t="n"/>
      <c r="G122" s="94" t="n"/>
      <c r="H122" s="91" t="n"/>
      <c r="I122" s="91" t="n"/>
      <c r="J122" s="91" t="n"/>
      <c r="K122" s="91" t="n"/>
      <c r="L122" s="91" t="n"/>
      <c r="M122" s="95" t="n"/>
      <c r="N122" s="91" t="n"/>
      <c r="O122" s="91" t="n"/>
      <c r="P122" s="91" t="n"/>
    </row>
    <row r="123" ht="32" customHeight="1">
      <c r="A123" s="92" t="n"/>
      <c r="B123" s="92" t="n"/>
      <c r="C123" s="92" t="n"/>
      <c r="D123" s="92" t="n"/>
      <c r="E123" s="92" t="n"/>
      <c r="F123" s="96" t="n"/>
      <c r="G123" s="96" t="n"/>
      <c r="H123" s="92" t="n"/>
      <c r="I123" s="92" t="n"/>
      <c r="J123" s="92" t="n"/>
      <c r="K123" s="92" t="n"/>
      <c r="L123" s="92" t="n"/>
      <c r="M123" s="97" t="n"/>
      <c r="N123" s="92" t="n"/>
      <c r="O123" s="92" t="n"/>
      <c r="P123" s="92" t="n"/>
    </row>
    <row r="124" ht="32" customHeight="1">
      <c r="A124" s="91" t="n"/>
      <c r="B124" s="91" t="n"/>
      <c r="C124" s="91" t="n"/>
      <c r="D124" s="91" t="n"/>
      <c r="E124" s="91" t="n"/>
      <c r="F124" s="94" t="n"/>
      <c r="G124" s="94" t="n"/>
      <c r="H124" s="91" t="n"/>
      <c r="I124" s="91" t="n"/>
      <c r="J124" s="91" t="n"/>
      <c r="K124" s="91" t="n"/>
      <c r="L124" s="91" t="n"/>
      <c r="M124" s="95" t="n"/>
      <c r="N124" s="91" t="n"/>
      <c r="O124" s="91" t="n"/>
      <c r="P124" s="91" t="n"/>
    </row>
    <row r="125" ht="32" customHeight="1">
      <c r="A125" s="92" t="n"/>
      <c r="B125" s="92" t="n"/>
      <c r="C125" s="92" t="n"/>
      <c r="D125" s="92" t="n"/>
      <c r="E125" s="92" t="n"/>
      <c r="F125" s="96" t="n"/>
      <c r="G125" s="96" t="n"/>
      <c r="H125" s="92" t="n"/>
      <c r="I125" s="92" t="n"/>
      <c r="J125" s="92" t="n"/>
      <c r="K125" s="92" t="n"/>
      <c r="L125" s="92" t="n"/>
      <c r="M125" s="97" t="n"/>
      <c r="N125" s="92" t="n"/>
      <c r="O125" s="92" t="n"/>
      <c r="P125" s="92" t="n"/>
    </row>
    <row r="126" ht="32" customHeight="1">
      <c r="A126" s="91" t="n"/>
      <c r="B126" s="91" t="n"/>
      <c r="C126" s="91" t="n"/>
      <c r="D126" s="91" t="n"/>
      <c r="E126" s="91" t="n"/>
      <c r="F126" s="94" t="n"/>
      <c r="G126" s="94" t="n"/>
      <c r="H126" s="91" t="n"/>
      <c r="I126" s="91" t="n"/>
      <c r="J126" s="91" t="n"/>
      <c r="K126" s="91" t="n"/>
      <c r="L126" s="91" t="n"/>
      <c r="M126" s="95" t="n"/>
      <c r="N126" s="91" t="n"/>
      <c r="O126" s="91" t="n"/>
      <c r="P126" s="91" t="n"/>
    </row>
    <row r="127" ht="32" customHeight="1">
      <c r="A127" s="92" t="n"/>
      <c r="B127" s="92" t="n"/>
      <c r="C127" s="92" t="n"/>
      <c r="D127" s="92" t="n"/>
      <c r="E127" s="92" t="n"/>
      <c r="F127" s="96" t="n"/>
      <c r="G127" s="96" t="n"/>
      <c r="H127" s="92" t="n"/>
      <c r="I127" s="92" t="n"/>
      <c r="J127" s="92" t="n"/>
      <c r="K127" s="92" t="n"/>
      <c r="L127" s="92" t="n"/>
      <c r="M127" s="97" t="n"/>
      <c r="N127" s="92" t="n"/>
      <c r="O127" s="92" t="n"/>
      <c r="P127" s="92" t="n"/>
    </row>
    <row r="128" ht="32" customHeight="1">
      <c r="A128" s="91" t="n"/>
      <c r="B128" s="91" t="n"/>
      <c r="C128" s="91" t="n"/>
      <c r="D128" s="91" t="n"/>
      <c r="E128" s="91" t="n"/>
      <c r="F128" s="94" t="n"/>
      <c r="G128" s="94" t="n"/>
      <c r="H128" s="91" t="n"/>
      <c r="I128" s="91" t="n"/>
      <c r="J128" s="91" t="n"/>
      <c r="K128" s="91" t="n"/>
      <c r="L128" s="91" t="n"/>
      <c r="M128" s="95" t="n"/>
      <c r="N128" s="91" t="n"/>
      <c r="O128" s="91" t="n"/>
      <c r="P128" s="91" t="n"/>
    </row>
    <row r="129" ht="32" customHeight="1">
      <c r="A129" s="92" t="n"/>
      <c r="B129" s="92" t="n"/>
      <c r="C129" s="92" t="n"/>
      <c r="D129" s="92" t="n"/>
      <c r="E129" s="92" t="n"/>
      <c r="F129" s="96" t="n"/>
      <c r="G129" s="96" t="n"/>
      <c r="H129" s="92" t="n"/>
      <c r="I129" s="92" t="n"/>
      <c r="J129" s="92" t="n"/>
      <c r="K129" s="92" t="n"/>
      <c r="L129" s="92" t="n"/>
      <c r="M129" s="97" t="n"/>
      <c r="N129" s="92" t="n"/>
      <c r="O129" s="92" t="n"/>
      <c r="P129" s="92" t="n"/>
    </row>
    <row r="130" ht="32" customHeight="1">
      <c r="A130" s="91" t="n"/>
      <c r="B130" s="91" t="n"/>
      <c r="C130" s="91" t="n"/>
      <c r="D130" s="91" t="n"/>
      <c r="E130" s="91" t="n"/>
      <c r="F130" s="94" t="n"/>
      <c r="G130" s="94" t="n"/>
      <c r="H130" s="91" t="n"/>
      <c r="I130" s="91" t="n"/>
      <c r="J130" s="91" t="n"/>
      <c r="K130" s="91" t="n"/>
      <c r="L130" s="91" t="n"/>
      <c r="M130" s="95" t="n"/>
      <c r="N130" s="91" t="n"/>
      <c r="O130" s="91" t="n"/>
      <c r="P130" s="91" t="n"/>
    </row>
    <row r="131" ht="32" customHeight="1">
      <c r="A131" s="92" t="n"/>
      <c r="B131" s="92" t="n"/>
      <c r="C131" s="92" t="n"/>
      <c r="D131" s="92" t="n"/>
      <c r="E131" s="92" t="n"/>
      <c r="F131" s="96" t="n"/>
      <c r="G131" s="96" t="n"/>
      <c r="H131" s="92" t="n"/>
      <c r="I131" s="92" t="n"/>
      <c r="J131" s="92" t="n"/>
      <c r="K131" s="92" t="n"/>
      <c r="L131" s="92" t="n"/>
      <c r="M131" s="97" t="n"/>
      <c r="N131" s="92" t="n"/>
      <c r="O131" s="92" t="n"/>
      <c r="P131" s="92" t="n"/>
    </row>
    <row r="132" ht="32" customHeight="1">
      <c r="A132" s="91" t="n"/>
      <c r="B132" s="91" t="n"/>
      <c r="C132" s="91" t="n"/>
      <c r="D132" s="91" t="n"/>
      <c r="E132" s="91" t="n"/>
      <c r="F132" s="94" t="n"/>
      <c r="G132" s="94" t="n"/>
      <c r="H132" s="91" t="n"/>
      <c r="I132" s="91" t="n"/>
      <c r="J132" s="91" t="n"/>
      <c r="K132" s="91" t="n"/>
      <c r="L132" s="91" t="n"/>
      <c r="M132" s="95" t="n"/>
      <c r="N132" s="91" t="n"/>
      <c r="O132" s="91" t="n"/>
      <c r="P132" s="91" t="n"/>
    </row>
    <row r="133" ht="32" customHeight="1">
      <c r="A133" s="92" t="n"/>
      <c r="B133" s="92" t="n"/>
      <c r="C133" s="92" t="n"/>
      <c r="D133" s="92" t="n"/>
      <c r="E133" s="92" t="n"/>
      <c r="F133" s="96" t="n"/>
      <c r="G133" s="96" t="n"/>
      <c r="H133" s="92" t="n"/>
      <c r="I133" s="92" t="n"/>
      <c r="J133" s="92" t="n"/>
      <c r="K133" s="92" t="n"/>
      <c r="L133" s="92" t="n"/>
      <c r="M133" s="97" t="n"/>
      <c r="N133" s="92" t="n"/>
      <c r="O133" s="92" t="n"/>
      <c r="P133" s="92" t="n"/>
    </row>
    <row r="134" ht="32" customHeight="1">
      <c r="A134" s="91" t="n"/>
      <c r="B134" s="91" t="n"/>
      <c r="C134" s="91" t="n"/>
      <c r="D134" s="91" t="n"/>
      <c r="E134" s="91" t="n"/>
      <c r="F134" s="94" t="n"/>
      <c r="G134" s="94" t="n"/>
      <c r="H134" s="91" t="n"/>
      <c r="I134" s="91" t="n"/>
      <c r="J134" s="91" t="n"/>
      <c r="K134" s="91" t="n"/>
      <c r="L134" s="91" t="n"/>
      <c r="M134" s="95" t="n"/>
      <c r="N134" s="91" t="n"/>
      <c r="O134" s="91" t="n"/>
      <c r="P134" s="91" t="n"/>
    </row>
    <row r="135" ht="32" customHeight="1">
      <c r="A135" s="92" t="n"/>
      <c r="B135" s="92" t="n"/>
      <c r="C135" s="92" t="n"/>
      <c r="D135" s="92" t="n"/>
      <c r="E135" s="92" t="n"/>
      <c r="F135" s="96" t="n"/>
      <c r="G135" s="96" t="n"/>
      <c r="H135" s="92" t="n"/>
      <c r="I135" s="92" t="n"/>
      <c r="J135" s="92" t="n"/>
      <c r="K135" s="92" t="n"/>
      <c r="L135" s="92" t="n"/>
      <c r="M135" s="97" t="n"/>
      <c r="N135" s="92" t="n"/>
      <c r="O135" s="92" t="n"/>
      <c r="P135" s="92" t="n"/>
    </row>
    <row r="136" ht="32" customHeight="1">
      <c r="A136" s="91" t="n"/>
      <c r="B136" s="91" t="n"/>
      <c r="C136" s="91" t="n"/>
      <c r="D136" s="91" t="n"/>
      <c r="E136" s="91" t="n"/>
      <c r="F136" s="94" t="n"/>
      <c r="G136" s="94" t="n"/>
      <c r="H136" s="91" t="n"/>
      <c r="I136" s="91" t="n"/>
      <c r="J136" s="91" t="n"/>
      <c r="K136" s="91" t="n"/>
      <c r="L136" s="91" t="n"/>
      <c r="M136" s="95" t="n"/>
      <c r="N136" s="91" t="n"/>
      <c r="O136" s="91" t="n"/>
      <c r="P136" s="91" t="n"/>
    </row>
    <row r="137" ht="32" customHeight="1">
      <c r="A137" s="92" t="n"/>
      <c r="B137" s="92" t="n"/>
      <c r="C137" s="92" t="n"/>
      <c r="D137" s="92" t="n"/>
      <c r="E137" s="92" t="n"/>
      <c r="F137" s="96" t="n"/>
      <c r="G137" s="96" t="n"/>
      <c r="H137" s="92" t="n"/>
      <c r="I137" s="92" t="n"/>
      <c r="J137" s="92" t="n"/>
      <c r="K137" s="92" t="n"/>
      <c r="L137" s="92" t="n"/>
      <c r="M137" s="97" t="n"/>
      <c r="N137" s="92" t="n"/>
      <c r="O137" s="92" t="n"/>
      <c r="P137" s="92" t="n"/>
    </row>
    <row r="138" ht="32" customHeight="1">
      <c r="A138" s="91" t="n"/>
      <c r="B138" s="91" t="n"/>
      <c r="C138" s="91" t="n"/>
      <c r="D138" s="91" t="n"/>
      <c r="E138" s="91" t="n"/>
      <c r="F138" s="94" t="n"/>
      <c r="G138" s="94" t="n"/>
      <c r="H138" s="91" t="n"/>
      <c r="I138" s="91" t="n"/>
      <c r="J138" s="91" t="n"/>
      <c r="K138" s="91" t="n"/>
      <c r="L138" s="91" t="n"/>
      <c r="M138" s="95" t="n"/>
      <c r="N138" s="91" t="n"/>
      <c r="O138" s="91" t="n"/>
      <c r="P138" s="91" t="n"/>
    </row>
    <row r="139" ht="32" customHeight="1">
      <c r="A139" s="92" t="n"/>
      <c r="B139" s="92" t="n"/>
      <c r="C139" s="92" t="n"/>
      <c r="D139" s="92" t="n"/>
      <c r="E139" s="92" t="n"/>
      <c r="F139" s="96" t="n"/>
      <c r="G139" s="96" t="n"/>
      <c r="H139" s="92" t="n"/>
      <c r="I139" s="92" t="n"/>
      <c r="J139" s="92" t="n"/>
      <c r="K139" s="92" t="n"/>
      <c r="L139" s="92" t="n"/>
      <c r="M139" s="97" t="n"/>
      <c r="N139" s="92" t="n"/>
      <c r="O139" s="92" t="n"/>
      <c r="P139" s="92" t="n"/>
    </row>
    <row r="140" ht="32" customHeight="1">
      <c r="A140" s="91" t="n"/>
      <c r="B140" s="91" t="n"/>
      <c r="C140" s="91" t="n"/>
      <c r="D140" s="91" t="n"/>
      <c r="E140" s="91" t="n"/>
      <c r="F140" s="94" t="n"/>
      <c r="G140" s="94" t="n"/>
      <c r="H140" s="91" t="n"/>
      <c r="I140" s="91" t="n"/>
      <c r="J140" s="91" t="n"/>
      <c r="K140" s="91" t="n"/>
      <c r="L140" s="91" t="n"/>
      <c r="M140" s="95" t="n"/>
      <c r="N140" s="91" t="n"/>
      <c r="O140" s="91" t="n"/>
      <c r="P140" s="91" t="n"/>
    </row>
    <row r="141" ht="32" customHeight="1">
      <c r="A141" s="92" t="n"/>
      <c r="B141" s="92" t="n"/>
      <c r="C141" s="92" t="n"/>
      <c r="D141" s="92" t="n"/>
      <c r="E141" s="92" t="n"/>
      <c r="F141" s="96" t="n"/>
      <c r="G141" s="96" t="n"/>
      <c r="H141" s="92" t="n"/>
      <c r="I141" s="92" t="n"/>
      <c r="J141" s="92" t="n"/>
      <c r="K141" s="92" t="n"/>
      <c r="L141" s="92" t="n"/>
      <c r="M141" s="97" t="n"/>
      <c r="N141" s="92" t="n"/>
      <c r="O141" s="92" t="n"/>
      <c r="P141" s="92" t="n"/>
    </row>
    <row r="142" ht="32" customHeight="1">
      <c r="A142" s="91" t="n"/>
      <c r="B142" s="91" t="n"/>
      <c r="C142" s="91" t="n"/>
      <c r="D142" s="91" t="n"/>
      <c r="E142" s="91" t="n"/>
      <c r="F142" s="94" t="n"/>
      <c r="G142" s="94" t="n"/>
      <c r="H142" s="91" t="n"/>
      <c r="I142" s="91" t="n"/>
      <c r="J142" s="91" t="n"/>
      <c r="K142" s="91" t="n"/>
      <c r="L142" s="91" t="n"/>
      <c r="M142" s="95" t="n"/>
      <c r="N142" s="91" t="n"/>
      <c r="O142" s="91" t="n"/>
      <c r="P142" s="91" t="n"/>
    </row>
    <row r="143" ht="32" customHeight="1">
      <c r="A143" s="92" t="n"/>
      <c r="B143" s="92" t="n"/>
      <c r="C143" s="92" t="n"/>
      <c r="D143" s="92" t="n"/>
      <c r="E143" s="92" t="n"/>
      <c r="F143" s="96" t="n"/>
      <c r="G143" s="96" t="n"/>
      <c r="H143" s="92" t="n"/>
      <c r="I143" s="92" t="n"/>
      <c r="J143" s="92" t="n"/>
      <c r="K143" s="92" t="n"/>
      <c r="L143" s="92" t="n"/>
      <c r="M143" s="97" t="n"/>
      <c r="N143" s="92" t="n"/>
      <c r="O143" s="92" t="n"/>
      <c r="P143" s="92" t="n"/>
    </row>
    <row r="144" ht="32" customHeight="1">
      <c r="A144" s="91" t="n"/>
      <c r="B144" s="91" t="n"/>
      <c r="C144" s="91" t="n"/>
      <c r="D144" s="91" t="n"/>
      <c r="E144" s="91" t="n"/>
      <c r="F144" s="94" t="n"/>
      <c r="G144" s="94" t="n"/>
      <c r="H144" s="91" t="n"/>
      <c r="I144" s="91" t="n"/>
      <c r="J144" s="91" t="n"/>
      <c r="K144" s="91" t="n"/>
      <c r="L144" s="91" t="n"/>
      <c r="M144" s="95" t="n"/>
      <c r="N144" s="91" t="n"/>
      <c r="O144" s="91" t="n"/>
      <c r="P144" s="91" t="n"/>
    </row>
    <row r="145" ht="32" customHeight="1">
      <c r="A145" s="92" t="n"/>
      <c r="B145" s="92" t="n"/>
      <c r="C145" s="92" t="n"/>
      <c r="D145" s="92" t="n"/>
      <c r="E145" s="92" t="n"/>
      <c r="F145" s="96" t="n"/>
      <c r="G145" s="96" t="n"/>
      <c r="H145" s="92" t="n"/>
      <c r="I145" s="92" t="n"/>
      <c r="J145" s="92" t="n"/>
      <c r="K145" s="92" t="n"/>
      <c r="L145" s="92" t="n"/>
      <c r="M145" s="97" t="n"/>
      <c r="N145" s="92" t="n"/>
      <c r="O145" s="92" t="n"/>
      <c r="P145" s="92" t="n"/>
    </row>
    <row r="146" ht="32" customHeight="1">
      <c r="A146" s="91" t="n"/>
      <c r="B146" s="91" t="n"/>
      <c r="C146" s="91" t="n"/>
      <c r="D146" s="91" t="n"/>
      <c r="E146" s="91" t="n"/>
      <c r="F146" s="94" t="n"/>
      <c r="G146" s="94" t="n"/>
      <c r="H146" s="91" t="n"/>
      <c r="I146" s="91" t="n"/>
      <c r="J146" s="91" t="n"/>
      <c r="K146" s="91" t="n"/>
      <c r="L146" s="91" t="n"/>
      <c r="M146" s="95" t="n"/>
      <c r="N146" s="91" t="n"/>
      <c r="O146" s="91" t="n"/>
      <c r="P146" s="91" t="n"/>
    </row>
    <row r="147" ht="32" customHeight="1">
      <c r="A147" s="92" t="n"/>
      <c r="B147" s="92" t="n"/>
      <c r="C147" s="92" t="n"/>
      <c r="D147" s="92" t="n"/>
      <c r="E147" s="92" t="n"/>
      <c r="F147" s="96" t="n"/>
      <c r="G147" s="96" t="n"/>
      <c r="H147" s="92" t="n"/>
      <c r="I147" s="92" t="n"/>
      <c r="J147" s="92" t="n"/>
      <c r="K147" s="92" t="n"/>
      <c r="L147" s="92" t="n"/>
      <c r="M147" s="97" t="n"/>
      <c r="N147" s="92" t="n"/>
      <c r="O147" s="92" t="n"/>
      <c r="P147" s="92" t="n"/>
    </row>
    <row r="148" ht="32" customHeight="1">
      <c r="A148" s="91" t="n"/>
      <c r="B148" s="91" t="n"/>
      <c r="C148" s="91" t="n"/>
      <c r="D148" s="91" t="n"/>
      <c r="E148" s="91" t="n"/>
      <c r="F148" s="94" t="n"/>
      <c r="G148" s="94" t="n"/>
      <c r="H148" s="91" t="n"/>
      <c r="I148" s="91" t="n"/>
      <c r="J148" s="91" t="n"/>
      <c r="K148" s="91" t="n"/>
      <c r="L148" s="91" t="n"/>
      <c r="M148" s="95" t="n"/>
      <c r="N148" s="91" t="n"/>
      <c r="O148" s="91" t="n"/>
      <c r="P148" s="91" t="n"/>
    </row>
    <row r="149" ht="32" customHeight="1">
      <c r="A149" s="92" t="n"/>
      <c r="B149" s="92" t="n"/>
      <c r="C149" s="92" t="n"/>
      <c r="D149" s="92" t="n"/>
      <c r="E149" s="92" t="n"/>
      <c r="F149" s="96" t="n"/>
      <c r="G149" s="96" t="n"/>
      <c r="H149" s="92" t="n"/>
      <c r="I149" s="92" t="n"/>
      <c r="J149" s="92" t="n"/>
      <c r="K149" s="92" t="n"/>
      <c r="L149" s="92" t="n"/>
      <c r="M149" s="97" t="n"/>
      <c r="N149" s="92" t="n"/>
      <c r="O149" s="92" t="n"/>
      <c r="P149" s="92" t="n"/>
    </row>
    <row r="150" ht="32" customHeight="1">
      <c r="A150" s="91" t="n"/>
      <c r="B150" s="91" t="n"/>
      <c r="C150" s="91" t="n"/>
      <c r="D150" s="91" t="n"/>
      <c r="E150" s="91" t="n"/>
      <c r="F150" s="94" t="n"/>
      <c r="G150" s="94" t="n"/>
      <c r="H150" s="91" t="n"/>
      <c r="I150" s="91" t="n"/>
      <c r="J150" s="91" t="n"/>
      <c r="K150" s="91" t="n"/>
      <c r="L150" s="91" t="n"/>
      <c r="M150" s="95" t="n"/>
      <c r="N150" s="91" t="n"/>
      <c r="O150" s="91" t="n"/>
      <c r="P150" s="91" t="n"/>
    </row>
    <row r="151" ht="32" customHeight="1">
      <c r="A151" s="92" t="n"/>
      <c r="B151" s="92" t="n"/>
      <c r="C151" s="92" t="n"/>
      <c r="D151" s="92" t="n"/>
      <c r="E151" s="92" t="n"/>
      <c r="F151" s="96" t="n"/>
      <c r="G151" s="96" t="n"/>
      <c r="H151" s="92" t="n"/>
      <c r="I151" s="92" t="n"/>
      <c r="J151" s="92" t="n"/>
      <c r="K151" s="92" t="n"/>
      <c r="L151" s="92" t="n"/>
      <c r="M151" s="97" t="n"/>
      <c r="N151" s="92" t="n"/>
      <c r="O151" s="92" t="n"/>
      <c r="P151" s="92" t="n"/>
    </row>
    <row r="152" ht="32" customHeight="1">
      <c r="A152" s="91" t="n"/>
      <c r="B152" s="91" t="n"/>
      <c r="C152" s="91" t="n"/>
      <c r="D152" s="91" t="n"/>
      <c r="E152" s="91" t="n"/>
      <c r="F152" s="94" t="n"/>
      <c r="G152" s="94" t="n"/>
      <c r="H152" s="91" t="n"/>
      <c r="I152" s="91" t="n"/>
      <c r="J152" s="91" t="n"/>
      <c r="K152" s="91" t="n"/>
      <c r="L152" s="91" t="n"/>
      <c r="M152" s="95" t="n"/>
      <c r="N152" s="91" t="n"/>
      <c r="O152" s="91" t="n"/>
      <c r="P152" s="91" t="n"/>
    </row>
    <row r="153" ht="32" customHeight="1">
      <c r="A153" s="92" t="n"/>
      <c r="B153" s="92" t="n"/>
      <c r="C153" s="92" t="n"/>
      <c r="D153" s="92" t="n"/>
      <c r="E153" s="92" t="n"/>
      <c r="F153" s="96" t="n"/>
      <c r="G153" s="96" t="n"/>
      <c r="H153" s="92" t="n"/>
      <c r="I153" s="92" t="n"/>
      <c r="J153" s="92" t="n"/>
      <c r="K153" s="92" t="n"/>
      <c r="L153" s="92" t="n"/>
      <c r="M153" s="97" t="n"/>
      <c r="N153" s="92" t="n"/>
      <c r="O153" s="92" t="n"/>
      <c r="P153" s="92" t="n"/>
    </row>
    <row r="154" ht="32" customHeight="1">
      <c r="A154" s="91" t="n"/>
      <c r="B154" s="91" t="n"/>
      <c r="C154" s="91" t="n"/>
      <c r="D154" s="91" t="n"/>
      <c r="E154" s="91" t="n"/>
      <c r="F154" s="94" t="n"/>
      <c r="G154" s="94" t="n"/>
      <c r="H154" s="91" t="n"/>
      <c r="I154" s="91" t="n"/>
      <c r="J154" s="91" t="n"/>
      <c r="K154" s="91" t="n"/>
      <c r="L154" s="91" t="n"/>
      <c r="M154" s="95" t="n"/>
      <c r="N154" s="91" t="n"/>
      <c r="O154" s="91" t="n"/>
      <c r="P154" s="91" t="n"/>
    </row>
    <row r="155" ht="32" customHeight="1">
      <c r="A155" s="92" t="n"/>
      <c r="B155" s="92" t="n"/>
      <c r="C155" s="92" t="n"/>
      <c r="D155" s="92" t="n"/>
      <c r="E155" s="92" t="n"/>
      <c r="F155" s="96" t="n"/>
      <c r="G155" s="96" t="n"/>
      <c r="H155" s="92" t="n"/>
      <c r="I155" s="92" t="n"/>
      <c r="J155" s="92" t="n"/>
      <c r="K155" s="92" t="n"/>
      <c r="L155" s="92" t="n"/>
      <c r="M155" s="97" t="n"/>
      <c r="N155" s="92" t="n"/>
      <c r="O155" s="92" t="n"/>
      <c r="P155" s="92" t="n"/>
    </row>
    <row r="156" ht="32" customHeight="1">
      <c r="A156" s="91" t="n"/>
      <c r="B156" s="91" t="n"/>
      <c r="C156" s="91" t="n"/>
      <c r="D156" s="91" t="n"/>
      <c r="E156" s="91" t="n"/>
      <c r="F156" s="94" t="n"/>
      <c r="G156" s="94" t="n"/>
      <c r="H156" s="91" t="n"/>
      <c r="I156" s="91" t="n"/>
      <c r="J156" s="91" t="n"/>
      <c r="K156" s="91" t="n"/>
      <c r="L156" s="91" t="n"/>
      <c r="M156" s="95" t="n"/>
      <c r="N156" s="91" t="n"/>
      <c r="O156" s="91" t="n"/>
      <c r="P156" s="91" t="n"/>
    </row>
    <row r="157" ht="32" customHeight="1">
      <c r="A157" s="92" t="n"/>
      <c r="B157" s="92" t="n"/>
      <c r="C157" s="92" t="n"/>
      <c r="D157" s="92" t="n"/>
      <c r="E157" s="92" t="n"/>
      <c r="F157" s="96" t="n"/>
      <c r="G157" s="96" t="n"/>
      <c r="H157" s="92" t="n"/>
      <c r="I157" s="92" t="n"/>
      <c r="J157" s="92" t="n"/>
      <c r="K157" s="92" t="n"/>
      <c r="L157" s="92" t="n"/>
      <c r="M157" s="97" t="n"/>
      <c r="N157" s="92" t="n"/>
      <c r="O157" s="92" t="n"/>
      <c r="P157" s="92" t="n"/>
    </row>
    <row r="158" ht="32" customHeight="1">
      <c r="A158" s="91" t="n"/>
      <c r="B158" s="91" t="n"/>
      <c r="C158" s="91" t="n"/>
      <c r="D158" s="91" t="n"/>
      <c r="E158" s="91" t="n"/>
      <c r="F158" s="94" t="n"/>
      <c r="G158" s="94" t="n"/>
      <c r="H158" s="91" t="n"/>
      <c r="I158" s="91" t="n"/>
      <c r="J158" s="91" t="n"/>
      <c r="K158" s="91" t="n"/>
      <c r="L158" s="91" t="n"/>
      <c r="M158" s="95" t="n"/>
      <c r="N158" s="91" t="n"/>
      <c r="O158" s="91" t="n"/>
      <c r="P158" s="91" t="n"/>
    </row>
    <row r="159" ht="32" customHeight="1">
      <c r="A159" s="92" t="n"/>
      <c r="B159" s="92" t="n"/>
      <c r="C159" s="92" t="n"/>
      <c r="D159" s="92" t="n"/>
      <c r="E159" s="92" t="n"/>
      <c r="F159" s="96" t="n"/>
      <c r="G159" s="96" t="n"/>
      <c r="H159" s="92" t="n"/>
      <c r="I159" s="92" t="n"/>
      <c r="J159" s="92" t="n"/>
      <c r="K159" s="92" t="n"/>
      <c r="L159" s="92" t="n"/>
      <c r="M159" s="97" t="n"/>
      <c r="N159" s="92" t="n"/>
      <c r="O159" s="92" t="n"/>
      <c r="P159" s="92" t="n"/>
    </row>
    <row r="160" ht="32" customHeight="1">
      <c r="A160" s="91" t="n"/>
      <c r="B160" s="91" t="n"/>
      <c r="C160" s="91" t="n"/>
      <c r="D160" s="91" t="n"/>
      <c r="E160" s="91" t="n"/>
      <c r="F160" s="94" t="n"/>
      <c r="G160" s="94" t="n"/>
      <c r="H160" s="91" t="n"/>
      <c r="I160" s="91" t="n"/>
      <c r="J160" s="91" t="n"/>
      <c r="K160" s="91" t="n"/>
      <c r="L160" s="91" t="n"/>
      <c r="M160" s="95" t="n"/>
      <c r="N160" s="91" t="n"/>
      <c r="O160" s="91" t="n"/>
      <c r="P160" s="91" t="n"/>
    </row>
    <row r="161" ht="32" customHeight="1">
      <c r="A161" s="92" t="n"/>
      <c r="B161" s="92" t="n"/>
      <c r="C161" s="92" t="n"/>
      <c r="D161" s="92" t="n"/>
      <c r="E161" s="92" t="n"/>
      <c r="F161" s="96" t="n"/>
      <c r="G161" s="96" t="n"/>
      <c r="H161" s="92" t="n"/>
      <c r="I161" s="92" t="n"/>
      <c r="J161" s="92" t="n"/>
      <c r="K161" s="92" t="n"/>
      <c r="L161" s="92" t="n"/>
      <c r="M161" s="97" t="n"/>
      <c r="N161" s="92" t="n"/>
      <c r="O161" s="92" t="n"/>
      <c r="P161" s="92" t="n"/>
    </row>
    <row r="162" ht="32" customHeight="1">
      <c r="A162" s="91" t="n"/>
      <c r="B162" s="91" t="n"/>
      <c r="C162" s="91" t="n"/>
      <c r="D162" s="91" t="n"/>
      <c r="E162" s="91" t="n"/>
      <c r="F162" s="94" t="n"/>
      <c r="G162" s="94" t="n"/>
      <c r="H162" s="91" t="n"/>
      <c r="I162" s="91" t="n"/>
      <c r="J162" s="91" t="n"/>
      <c r="K162" s="91" t="n"/>
      <c r="L162" s="91" t="n"/>
      <c r="M162" s="95" t="n"/>
      <c r="N162" s="91" t="n"/>
      <c r="O162" s="91" t="n"/>
      <c r="P162" s="91" t="n"/>
    </row>
    <row r="163" ht="32" customHeight="1">
      <c r="A163" s="92" t="n"/>
      <c r="B163" s="92" t="n"/>
      <c r="C163" s="92" t="n"/>
      <c r="D163" s="92" t="n"/>
      <c r="E163" s="92" t="n"/>
      <c r="F163" s="96" t="n"/>
      <c r="G163" s="96" t="n"/>
      <c r="H163" s="92" t="n"/>
      <c r="I163" s="92" t="n"/>
      <c r="J163" s="92" t="n"/>
      <c r="K163" s="92" t="n"/>
      <c r="L163" s="92" t="n"/>
      <c r="M163" s="97" t="n"/>
      <c r="N163" s="92" t="n"/>
      <c r="O163" s="92" t="n"/>
      <c r="P163" s="92" t="n"/>
    </row>
    <row r="164" ht="32" customHeight="1">
      <c r="A164" s="91" t="n"/>
      <c r="B164" s="91" t="n"/>
      <c r="C164" s="91" t="n"/>
      <c r="D164" s="91" t="n"/>
      <c r="E164" s="91" t="n"/>
      <c r="F164" s="94" t="n"/>
      <c r="G164" s="94" t="n"/>
      <c r="H164" s="91" t="n"/>
      <c r="I164" s="91" t="n"/>
      <c r="J164" s="91" t="n"/>
      <c r="K164" s="91" t="n"/>
      <c r="L164" s="91" t="n"/>
      <c r="M164" s="95" t="n"/>
      <c r="N164" s="91" t="n"/>
      <c r="O164" s="91" t="n"/>
      <c r="P164" s="91" t="n"/>
    </row>
    <row r="165" ht="32" customHeight="1">
      <c r="A165" s="92" t="n"/>
      <c r="B165" s="92" t="n"/>
      <c r="C165" s="92" t="n"/>
      <c r="D165" s="92" t="n"/>
      <c r="E165" s="92" t="n"/>
      <c r="F165" s="96" t="n"/>
      <c r="G165" s="96" t="n"/>
      <c r="H165" s="92" t="n"/>
      <c r="I165" s="92" t="n"/>
      <c r="J165" s="92" t="n"/>
      <c r="K165" s="92" t="n"/>
      <c r="L165" s="92" t="n"/>
      <c r="M165" s="97" t="n"/>
      <c r="N165" s="92" t="n"/>
      <c r="O165" s="92" t="n"/>
      <c r="P165" s="92" t="n"/>
    </row>
    <row r="166" ht="32" customHeight="1">
      <c r="A166" s="91" t="n"/>
      <c r="B166" s="91" t="n"/>
      <c r="C166" s="91" t="n"/>
      <c r="D166" s="91" t="n"/>
      <c r="E166" s="91" t="n"/>
      <c r="F166" s="94" t="n"/>
      <c r="G166" s="94" t="n"/>
      <c r="H166" s="91" t="n"/>
      <c r="I166" s="91" t="n"/>
      <c r="J166" s="91" t="n"/>
      <c r="K166" s="91" t="n"/>
      <c r="L166" s="91" t="n"/>
      <c r="M166" s="95" t="n"/>
      <c r="N166" s="91" t="n"/>
      <c r="O166" s="91" t="n"/>
      <c r="P166" s="91" t="n"/>
    </row>
    <row r="167" ht="32" customHeight="1">
      <c r="A167" s="92" t="n"/>
      <c r="B167" s="92" t="n"/>
      <c r="C167" s="92" t="n"/>
      <c r="D167" s="92" t="n"/>
      <c r="E167" s="92" t="n"/>
      <c r="F167" s="96" t="n"/>
      <c r="G167" s="96" t="n"/>
      <c r="H167" s="92" t="n"/>
      <c r="I167" s="92" t="n"/>
      <c r="J167" s="92" t="n"/>
      <c r="K167" s="92" t="n"/>
      <c r="L167" s="92" t="n"/>
      <c r="M167" s="97" t="n"/>
      <c r="N167" s="92" t="n"/>
      <c r="O167" s="92" t="n"/>
      <c r="P167" s="92" t="n"/>
    </row>
    <row r="168" ht="32" customHeight="1">
      <c r="A168" s="91" t="n"/>
      <c r="B168" s="91" t="n"/>
      <c r="C168" s="91" t="n"/>
      <c r="D168" s="91" t="n"/>
      <c r="E168" s="91" t="n"/>
      <c r="F168" s="94" t="n"/>
      <c r="G168" s="94" t="n"/>
      <c r="H168" s="91" t="n"/>
      <c r="I168" s="91" t="n"/>
      <c r="J168" s="91" t="n"/>
      <c r="K168" s="91" t="n"/>
      <c r="L168" s="91" t="n"/>
      <c r="M168" s="95" t="n"/>
      <c r="N168" s="91" t="n"/>
      <c r="O168" s="91" t="n"/>
      <c r="P168" s="91" t="n"/>
    </row>
    <row r="169" ht="32" customHeight="1">
      <c r="A169" s="92" t="n"/>
      <c r="B169" s="92" t="n"/>
      <c r="C169" s="92" t="n"/>
      <c r="D169" s="92" t="n"/>
      <c r="E169" s="92" t="n"/>
      <c r="F169" s="96" t="n"/>
      <c r="G169" s="96" t="n"/>
      <c r="H169" s="92" t="n"/>
      <c r="I169" s="92" t="n"/>
      <c r="J169" s="92" t="n"/>
      <c r="K169" s="92" t="n"/>
      <c r="L169" s="92" t="n"/>
      <c r="M169" s="97" t="n"/>
      <c r="N169" s="92" t="n"/>
      <c r="O169" s="92" t="n"/>
      <c r="P169" s="92" t="n"/>
    </row>
    <row r="170" ht="32" customHeight="1">
      <c r="A170" s="91" t="n"/>
      <c r="B170" s="91" t="n"/>
      <c r="C170" s="91" t="n"/>
      <c r="D170" s="91" t="n"/>
      <c r="E170" s="91" t="n"/>
      <c r="F170" s="94" t="n"/>
      <c r="G170" s="94" t="n"/>
      <c r="H170" s="91" t="n"/>
      <c r="I170" s="91" t="n"/>
      <c r="J170" s="91" t="n"/>
      <c r="K170" s="91" t="n"/>
      <c r="L170" s="91" t="n"/>
      <c r="M170" s="95" t="n"/>
      <c r="N170" s="91" t="n"/>
      <c r="O170" s="91" t="n"/>
      <c r="P170" s="91" t="n"/>
    </row>
    <row r="171" ht="32" customHeight="1">
      <c r="A171" s="92" t="n"/>
      <c r="B171" s="92" t="n"/>
      <c r="C171" s="92" t="n"/>
      <c r="D171" s="92" t="n"/>
      <c r="E171" s="92" t="n"/>
      <c r="F171" s="96" t="n"/>
      <c r="G171" s="96" t="n"/>
      <c r="H171" s="92" t="n"/>
      <c r="I171" s="92" t="n"/>
      <c r="J171" s="92" t="n"/>
      <c r="K171" s="92" t="n"/>
      <c r="L171" s="92" t="n"/>
      <c r="M171" s="97" t="n"/>
      <c r="N171" s="92" t="n"/>
      <c r="O171" s="92" t="n"/>
      <c r="P171" s="92" t="n"/>
    </row>
    <row r="172" ht="32" customHeight="1">
      <c r="A172" s="91" t="n"/>
      <c r="B172" s="91" t="n"/>
      <c r="C172" s="91" t="n"/>
      <c r="D172" s="91" t="n"/>
      <c r="E172" s="91" t="n"/>
      <c r="F172" s="94" t="n"/>
      <c r="G172" s="94" t="n"/>
      <c r="H172" s="91" t="n"/>
      <c r="I172" s="91" t="n"/>
      <c r="J172" s="91" t="n"/>
      <c r="K172" s="91" t="n"/>
      <c r="L172" s="91" t="n"/>
      <c r="M172" s="95" t="n"/>
      <c r="N172" s="91" t="n"/>
      <c r="O172" s="91" t="n"/>
      <c r="P172" s="91" t="n"/>
    </row>
    <row r="173" ht="32" customHeight="1">
      <c r="A173" s="92" t="n"/>
      <c r="B173" s="92" t="n"/>
      <c r="C173" s="92" t="n"/>
      <c r="D173" s="92" t="n"/>
      <c r="E173" s="92" t="n"/>
      <c r="F173" s="96" t="n"/>
      <c r="G173" s="96" t="n"/>
      <c r="H173" s="92" t="n"/>
      <c r="I173" s="92" t="n"/>
      <c r="J173" s="92" t="n"/>
      <c r="K173" s="92" t="n"/>
      <c r="L173" s="92" t="n"/>
      <c r="M173" s="97" t="n"/>
      <c r="N173" s="92" t="n"/>
      <c r="O173" s="92" t="n"/>
      <c r="P173" s="92" t="n"/>
    </row>
    <row r="174" ht="32" customHeight="1">
      <c r="A174" s="91" t="n"/>
      <c r="B174" s="91" t="n"/>
      <c r="C174" s="91" t="n"/>
      <c r="D174" s="91" t="n"/>
      <c r="E174" s="91" t="n"/>
      <c r="F174" s="94" t="n"/>
      <c r="G174" s="94" t="n"/>
      <c r="H174" s="91" t="n"/>
      <c r="I174" s="91" t="n"/>
      <c r="J174" s="91" t="n"/>
      <c r="K174" s="91" t="n"/>
      <c r="L174" s="91" t="n"/>
      <c r="M174" s="95" t="n"/>
      <c r="N174" s="91" t="n"/>
      <c r="O174" s="91" t="n"/>
      <c r="P174" s="91" t="n"/>
    </row>
    <row r="175" ht="32" customHeight="1">
      <c r="A175" s="92" t="n"/>
      <c r="B175" s="92" t="n"/>
      <c r="C175" s="92" t="n"/>
      <c r="D175" s="92" t="n"/>
      <c r="E175" s="92" t="n"/>
      <c r="F175" s="96" t="n"/>
      <c r="G175" s="96" t="n"/>
      <c r="H175" s="92" t="n"/>
      <c r="I175" s="92" t="n"/>
      <c r="J175" s="92" t="n"/>
      <c r="K175" s="92" t="n"/>
      <c r="L175" s="92" t="n"/>
      <c r="M175" s="97" t="n"/>
      <c r="N175" s="92" t="n"/>
      <c r="O175" s="92" t="n"/>
      <c r="P175" s="92" t="n"/>
    </row>
    <row r="176" ht="32" customHeight="1">
      <c r="A176" s="91" t="n"/>
      <c r="B176" s="91" t="n"/>
      <c r="C176" s="91" t="n"/>
      <c r="D176" s="91" t="n"/>
      <c r="E176" s="91" t="n"/>
      <c r="F176" s="94" t="n"/>
      <c r="G176" s="94" t="n"/>
      <c r="H176" s="91" t="n"/>
      <c r="I176" s="91" t="n"/>
      <c r="J176" s="91" t="n"/>
      <c r="K176" s="91" t="n"/>
      <c r="L176" s="91" t="n"/>
      <c r="M176" s="95" t="n"/>
      <c r="N176" s="91" t="n"/>
      <c r="O176" s="91" t="n"/>
      <c r="P176" s="91" t="n"/>
    </row>
    <row r="177" ht="32" customHeight="1">
      <c r="A177" s="92" t="n"/>
      <c r="B177" s="92" t="n"/>
      <c r="C177" s="92" t="n"/>
      <c r="D177" s="92" t="n"/>
      <c r="E177" s="92" t="n"/>
      <c r="F177" s="96" t="n"/>
      <c r="G177" s="96" t="n"/>
      <c r="H177" s="92" t="n"/>
      <c r="I177" s="92" t="n"/>
      <c r="J177" s="92" t="n"/>
      <c r="K177" s="92" t="n"/>
      <c r="L177" s="92" t="n"/>
      <c r="M177" s="97" t="n"/>
      <c r="N177" s="92" t="n"/>
      <c r="O177" s="92" t="n"/>
      <c r="P177" s="92" t="n"/>
    </row>
    <row r="178" ht="32" customHeight="1">
      <c r="A178" s="91" t="n"/>
      <c r="B178" s="91" t="n"/>
      <c r="C178" s="91" t="n"/>
      <c r="D178" s="91" t="n"/>
      <c r="E178" s="91" t="n"/>
      <c r="F178" s="94" t="n"/>
      <c r="G178" s="94" t="n"/>
      <c r="H178" s="91" t="n"/>
      <c r="I178" s="91" t="n"/>
      <c r="J178" s="91" t="n"/>
      <c r="K178" s="91" t="n"/>
      <c r="L178" s="91" t="n"/>
      <c r="M178" s="95" t="n"/>
      <c r="N178" s="91" t="n"/>
      <c r="O178" s="91" t="n"/>
      <c r="P178" s="91" t="n"/>
    </row>
    <row r="179" ht="32" customHeight="1">
      <c r="A179" s="92" t="n"/>
      <c r="B179" s="92" t="n"/>
      <c r="C179" s="92" t="n"/>
      <c r="D179" s="92" t="n"/>
      <c r="E179" s="92" t="n"/>
      <c r="F179" s="96" t="n"/>
      <c r="G179" s="96" t="n"/>
      <c r="H179" s="92" t="n"/>
      <c r="I179" s="92" t="n"/>
      <c r="J179" s="92" t="n"/>
      <c r="K179" s="92" t="n"/>
      <c r="L179" s="92" t="n"/>
      <c r="M179" s="97" t="n"/>
      <c r="N179" s="92" t="n"/>
      <c r="O179" s="92" t="n"/>
      <c r="P179" s="92" t="n"/>
    </row>
    <row r="180" ht="32" customHeight="1">
      <c r="A180" s="91" t="n"/>
      <c r="B180" s="91" t="n"/>
      <c r="C180" s="91" t="n"/>
      <c r="D180" s="91" t="n"/>
      <c r="E180" s="91" t="n"/>
      <c r="F180" s="94" t="n"/>
      <c r="G180" s="94" t="n"/>
      <c r="H180" s="91" t="n"/>
      <c r="I180" s="91" t="n"/>
      <c r="J180" s="91" t="n"/>
      <c r="K180" s="91" t="n"/>
      <c r="L180" s="91" t="n"/>
      <c r="M180" s="95" t="n"/>
      <c r="N180" s="91" t="n"/>
      <c r="O180" s="91" t="n"/>
      <c r="P180" s="91" t="n"/>
    </row>
    <row r="181" ht="32" customHeight="1">
      <c r="A181" s="92" t="n"/>
      <c r="B181" s="92" t="n"/>
      <c r="C181" s="92" t="n"/>
      <c r="D181" s="92" t="n"/>
      <c r="E181" s="92" t="n"/>
      <c r="F181" s="96" t="n"/>
      <c r="G181" s="96" t="n"/>
      <c r="H181" s="92" t="n"/>
      <c r="I181" s="92" t="n"/>
      <c r="J181" s="92" t="n"/>
      <c r="K181" s="92" t="n"/>
      <c r="L181" s="92" t="n"/>
      <c r="M181" s="97" t="n"/>
      <c r="N181" s="92" t="n"/>
      <c r="O181" s="92" t="n"/>
      <c r="P181" s="92" t="n"/>
    </row>
    <row r="182" ht="32" customHeight="1">
      <c r="A182" s="91" t="n"/>
      <c r="B182" s="91" t="n"/>
      <c r="C182" s="91" t="n"/>
      <c r="D182" s="91" t="n"/>
      <c r="E182" s="91" t="n"/>
      <c r="F182" s="94" t="n"/>
      <c r="G182" s="94" t="n"/>
      <c r="H182" s="91" t="n"/>
      <c r="I182" s="91" t="n"/>
      <c r="J182" s="91" t="n"/>
      <c r="K182" s="91" t="n"/>
      <c r="L182" s="91" t="n"/>
      <c r="M182" s="95" t="n"/>
      <c r="N182" s="91" t="n"/>
      <c r="O182" s="91" t="n"/>
      <c r="P182" s="91" t="n"/>
    </row>
    <row r="183" ht="32" customHeight="1">
      <c r="A183" s="92" t="n"/>
      <c r="B183" s="92" t="n"/>
      <c r="C183" s="92" t="n"/>
      <c r="D183" s="92" t="n"/>
      <c r="E183" s="92" t="n"/>
      <c r="F183" s="96" t="n"/>
      <c r="G183" s="96" t="n"/>
      <c r="H183" s="92" t="n"/>
      <c r="I183" s="92" t="n"/>
      <c r="J183" s="92" t="n"/>
      <c r="K183" s="92" t="n"/>
      <c r="L183" s="92" t="n"/>
      <c r="M183" s="97" t="n"/>
      <c r="N183" s="92" t="n"/>
      <c r="O183" s="92" t="n"/>
      <c r="P183" s="92" t="n"/>
    </row>
    <row r="184" ht="32" customHeight="1">
      <c r="A184" s="91" t="n"/>
      <c r="B184" s="91" t="n"/>
      <c r="C184" s="91" t="n"/>
      <c r="D184" s="91" t="n"/>
      <c r="E184" s="91" t="n"/>
      <c r="F184" s="94" t="n"/>
      <c r="G184" s="94" t="n"/>
      <c r="H184" s="91" t="n"/>
      <c r="I184" s="91" t="n"/>
      <c r="J184" s="91" t="n"/>
      <c r="K184" s="91" t="n"/>
      <c r="L184" s="91" t="n"/>
      <c r="M184" s="95" t="n"/>
      <c r="N184" s="91" t="n"/>
      <c r="O184" s="91" t="n"/>
      <c r="P184" s="91" t="n"/>
    </row>
    <row r="185" ht="32" customHeight="1">
      <c r="A185" s="92" t="n"/>
      <c r="B185" s="92" t="n"/>
      <c r="C185" s="92" t="n"/>
      <c r="D185" s="92" t="n"/>
      <c r="E185" s="92" t="n"/>
      <c r="F185" s="96" t="n"/>
      <c r="G185" s="96" t="n"/>
      <c r="H185" s="92" t="n"/>
      <c r="I185" s="92" t="n"/>
      <c r="J185" s="92" t="n"/>
      <c r="K185" s="92" t="n"/>
      <c r="L185" s="92" t="n"/>
      <c r="M185" s="97" t="n"/>
      <c r="N185" s="92" t="n"/>
      <c r="O185" s="92" t="n"/>
      <c r="P185" s="92" t="n"/>
    </row>
    <row r="186" ht="32" customHeight="1">
      <c r="A186" s="91" t="n"/>
      <c r="B186" s="91" t="n"/>
      <c r="C186" s="91" t="n"/>
      <c r="D186" s="91" t="n"/>
      <c r="E186" s="91" t="n"/>
      <c r="F186" s="94" t="n"/>
      <c r="G186" s="94" t="n"/>
      <c r="H186" s="91" t="n"/>
      <c r="I186" s="91" t="n"/>
      <c r="J186" s="91" t="n"/>
      <c r="K186" s="91" t="n"/>
      <c r="L186" s="91" t="n"/>
      <c r="M186" s="95" t="n"/>
      <c r="N186" s="91" t="n"/>
      <c r="O186" s="91" t="n"/>
      <c r="P186" s="91" t="n"/>
    </row>
    <row r="187" ht="32" customHeight="1">
      <c r="A187" s="92" t="n"/>
      <c r="B187" s="92" t="n"/>
      <c r="C187" s="92" t="n"/>
      <c r="D187" s="92" t="n"/>
      <c r="E187" s="92" t="n"/>
      <c r="F187" s="96" t="n"/>
      <c r="G187" s="96" t="n"/>
      <c r="H187" s="92" t="n"/>
      <c r="I187" s="92" t="n"/>
      <c r="J187" s="92" t="n"/>
      <c r="K187" s="92" t="n"/>
      <c r="L187" s="92" t="n"/>
      <c r="M187" s="97" t="n"/>
      <c r="N187" s="92" t="n"/>
      <c r="O187" s="92" t="n"/>
      <c r="P187" s="92" t="n"/>
    </row>
    <row r="188" ht="32" customHeight="1">
      <c r="A188" s="91" t="n"/>
      <c r="B188" s="91" t="n"/>
      <c r="C188" s="91" t="n"/>
      <c r="D188" s="91" t="n"/>
      <c r="E188" s="91" t="n"/>
      <c r="F188" s="94" t="n"/>
      <c r="G188" s="94" t="n"/>
      <c r="H188" s="91" t="n"/>
      <c r="I188" s="91" t="n"/>
      <c r="J188" s="91" t="n"/>
      <c r="K188" s="91" t="n"/>
      <c r="L188" s="91" t="n"/>
      <c r="M188" s="95" t="n"/>
      <c r="N188" s="91" t="n"/>
      <c r="O188" s="91" t="n"/>
      <c r="P188" s="91" t="n"/>
    </row>
    <row r="189" ht="32" customHeight="1">
      <c r="A189" s="92" t="n"/>
      <c r="B189" s="92" t="n"/>
      <c r="C189" s="92" t="n"/>
      <c r="D189" s="92" t="n"/>
      <c r="E189" s="92" t="n"/>
      <c r="F189" s="96" t="n"/>
      <c r="G189" s="96" t="n"/>
      <c r="H189" s="92" t="n"/>
      <c r="I189" s="92" t="n"/>
      <c r="J189" s="92" t="n"/>
      <c r="K189" s="92" t="n"/>
      <c r="L189" s="92" t="n"/>
      <c r="M189" s="97" t="n"/>
      <c r="N189" s="92" t="n"/>
      <c r="O189" s="92" t="n"/>
      <c r="P189" s="92" t="n"/>
    </row>
    <row r="190" ht="32" customHeight="1">
      <c r="A190" s="91" t="n"/>
      <c r="B190" s="91" t="n"/>
      <c r="C190" s="91" t="n"/>
      <c r="D190" s="91" t="n"/>
      <c r="E190" s="91" t="n"/>
      <c r="F190" s="94" t="n"/>
      <c r="G190" s="94" t="n"/>
      <c r="H190" s="91" t="n"/>
      <c r="I190" s="91" t="n"/>
      <c r="J190" s="91" t="n"/>
      <c r="K190" s="91" t="n"/>
      <c r="L190" s="91" t="n"/>
      <c r="M190" s="95" t="n"/>
      <c r="N190" s="91" t="n"/>
      <c r="O190" s="91" t="n"/>
      <c r="P190" s="91" t="n"/>
    </row>
    <row r="191" ht="32" customHeight="1">
      <c r="A191" s="92" t="n"/>
      <c r="B191" s="92" t="n"/>
      <c r="C191" s="92" t="n"/>
      <c r="D191" s="92" t="n"/>
      <c r="E191" s="92" t="n"/>
      <c r="F191" s="96" t="n"/>
      <c r="G191" s="96" t="n"/>
      <c r="H191" s="92" t="n"/>
      <c r="I191" s="92" t="n"/>
      <c r="J191" s="92" t="n"/>
      <c r="K191" s="92" t="n"/>
      <c r="L191" s="92" t="n"/>
      <c r="M191" s="97" t="n"/>
      <c r="N191" s="92" t="n"/>
      <c r="O191" s="92" t="n"/>
      <c r="P191" s="92" t="n"/>
    </row>
    <row r="192" ht="32" customHeight="1">
      <c r="A192" s="91" t="n"/>
      <c r="B192" s="91" t="n"/>
      <c r="C192" s="91" t="n"/>
      <c r="D192" s="91" t="n"/>
      <c r="E192" s="91" t="n"/>
      <c r="F192" s="94" t="n"/>
      <c r="G192" s="94" t="n"/>
      <c r="H192" s="91" t="n"/>
      <c r="I192" s="91" t="n"/>
      <c r="J192" s="91" t="n"/>
      <c r="K192" s="91" t="n"/>
      <c r="L192" s="91" t="n"/>
      <c r="M192" s="95" t="n"/>
      <c r="N192" s="91" t="n"/>
      <c r="O192" s="91" t="n"/>
      <c r="P192" s="91" t="n"/>
    </row>
    <row r="193" ht="32" customHeight="1">
      <c r="A193" s="92" t="n"/>
      <c r="B193" s="92" t="n"/>
      <c r="C193" s="92" t="n"/>
      <c r="D193" s="92" t="n"/>
      <c r="E193" s="92" t="n"/>
      <c r="F193" s="96" t="n"/>
      <c r="G193" s="96" t="n"/>
      <c r="H193" s="92" t="n"/>
      <c r="I193" s="92" t="n"/>
      <c r="J193" s="92" t="n"/>
      <c r="K193" s="92" t="n"/>
      <c r="L193" s="92" t="n"/>
      <c r="M193" s="97" t="n"/>
      <c r="N193" s="92" t="n"/>
      <c r="O193" s="92" t="n"/>
      <c r="P193" s="92" t="n"/>
    </row>
    <row r="194" ht="32" customHeight="1">
      <c r="A194" s="91" t="n"/>
      <c r="B194" s="91" t="n"/>
      <c r="C194" s="91" t="n"/>
      <c r="D194" s="91" t="n"/>
      <c r="E194" s="91" t="n"/>
      <c r="F194" s="94" t="n"/>
      <c r="G194" s="94" t="n"/>
      <c r="H194" s="91" t="n"/>
      <c r="I194" s="91" t="n"/>
      <c r="J194" s="91" t="n"/>
      <c r="K194" s="91" t="n"/>
      <c r="L194" s="91" t="n"/>
      <c r="M194" s="95" t="n"/>
      <c r="N194" s="91" t="n"/>
      <c r="O194" s="91" t="n"/>
      <c r="P194" s="91" t="n"/>
    </row>
    <row r="195" ht="32" customHeight="1">
      <c r="A195" s="92" t="n"/>
      <c r="B195" s="92" t="n"/>
      <c r="C195" s="92" t="n"/>
      <c r="D195" s="92" t="n"/>
      <c r="E195" s="92" t="n"/>
      <c r="F195" s="96" t="n"/>
      <c r="G195" s="96" t="n"/>
      <c r="H195" s="92" t="n"/>
      <c r="I195" s="92" t="n"/>
      <c r="J195" s="92" t="n"/>
      <c r="K195" s="92" t="n"/>
      <c r="L195" s="92" t="n"/>
      <c r="M195" s="97" t="n"/>
      <c r="N195" s="92" t="n"/>
      <c r="O195" s="92" t="n"/>
      <c r="P195" s="92" t="n"/>
    </row>
    <row r="196" ht="32" customHeight="1">
      <c r="A196" s="91" t="n"/>
      <c r="B196" s="91" t="n"/>
      <c r="C196" s="91" t="n"/>
      <c r="D196" s="91" t="n"/>
      <c r="E196" s="91" t="n"/>
      <c r="F196" s="94" t="n"/>
      <c r="G196" s="94" t="n"/>
      <c r="H196" s="91" t="n"/>
      <c r="I196" s="91" t="n"/>
      <c r="J196" s="91" t="n"/>
      <c r="K196" s="91" t="n"/>
      <c r="L196" s="91" t="n"/>
      <c r="M196" s="95" t="n"/>
      <c r="N196" s="91" t="n"/>
      <c r="O196" s="91" t="n"/>
      <c r="P196" s="91" t="n"/>
    </row>
    <row r="197" ht="32" customHeight="1">
      <c r="A197" s="92" t="n"/>
      <c r="B197" s="92" t="n"/>
      <c r="C197" s="92" t="n"/>
      <c r="D197" s="92" t="n"/>
      <c r="E197" s="92" t="n"/>
      <c r="F197" s="96" t="n"/>
      <c r="G197" s="96" t="n"/>
      <c r="H197" s="92" t="n"/>
      <c r="I197" s="92" t="n"/>
      <c r="J197" s="92" t="n"/>
      <c r="K197" s="92" t="n"/>
      <c r="L197" s="92" t="n"/>
      <c r="M197" s="97" t="n"/>
      <c r="N197" s="92" t="n"/>
      <c r="O197" s="92" t="n"/>
      <c r="P197" s="92" t="n"/>
    </row>
    <row r="198" ht="32" customHeight="1">
      <c r="A198" s="91" t="n"/>
      <c r="B198" s="91" t="n"/>
      <c r="C198" s="91" t="n"/>
      <c r="D198" s="91" t="n"/>
      <c r="E198" s="91" t="n"/>
      <c r="F198" s="94" t="n"/>
      <c r="G198" s="94" t="n"/>
      <c r="H198" s="91" t="n"/>
      <c r="I198" s="91" t="n"/>
      <c r="J198" s="91" t="n"/>
      <c r="K198" s="91" t="n"/>
      <c r="L198" s="91" t="n"/>
      <c r="M198" s="95" t="n"/>
      <c r="N198" s="91" t="n"/>
      <c r="O198" s="91" t="n"/>
      <c r="P198" s="91" t="n"/>
    </row>
    <row r="199" ht="32" customHeight="1">
      <c r="A199" s="92" t="n"/>
      <c r="B199" s="92" t="n"/>
      <c r="C199" s="92" t="n"/>
      <c r="D199" s="92" t="n"/>
      <c r="E199" s="92" t="n"/>
      <c r="F199" s="96" t="n"/>
      <c r="G199" s="96" t="n"/>
      <c r="H199" s="92" t="n"/>
      <c r="I199" s="92" t="n"/>
      <c r="J199" s="92" t="n"/>
      <c r="K199" s="92" t="n"/>
      <c r="L199" s="92" t="n"/>
      <c r="M199" s="97" t="n"/>
      <c r="N199" s="92" t="n"/>
      <c r="O199" s="92" t="n"/>
      <c r="P199" s="92" t="n"/>
    </row>
    <row r="200" ht="32" customHeight="1">
      <c r="A200" s="91" t="n"/>
      <c r="B200" s="91" t="n"/>
      <c r="C200" s="91" t="n"/>
      <c r="D200" s="91" t="n"/>
      <c r="E200" s="91" t="n"/>
      <c r="F200" s="94" t="n"/>
      <c r="G200" s="94" t="n"/>
      <c r="H200" s="91" t="n"/>
      <c r="I200" s="91" t="n"/>
      <c r="J200" s="91" t="n"/>
      <c r="K200" s="91" t="n"/>
      <c r="L200" s="91" t="n"/>
      <c r="M200" s="95" t="n"/>
      <c r="N200" s="91" t="n"/>
      <c r="O200" s="91" t="n"/>
      <c r="P200" s="91" t="n"/>
    </row>
    <row r="201" ht="32" customHeight="1">
      <c r="A201" s="92" t="n"/>
      <c r="B201" s="92" t="n"/>
      <c r="C201" s="92" t="n"/>
      <c r="D201" s="92" t="n"/>
      <c r="E201" s="92" t="n"/>
      <c r="F201" s="96" t="n"/>
      <c r="G201" s="96" t="n"/>
      <c r="H201" s="92" t="n"/>
      <c r="I201" s="92" t="n"/>
      <c r="J201" s="92" t="n"/>
      <c r="K201" s="92" t="n"/>
      <c r="L201" s="92" t="n"/>
      <c r="M201" s="97" t="n"/>
      <c r="N201" s="92" t="n"/>
      <c r="O201" s="92" t="n"/>
      <c r="P201" s="92" t="n"/>
    </row>
    <row r="202" ht="32" customHeight="1">
      <c r="A202" s="91" t="n"/>
      <c r="B202" s="91" t="n"/>
      <c r="C202" s="91" t="n"/>
      <c r="D202" s="91" t="n"/>
      <c r="E202" s="91" t="n"/>
      <c r="F202" s="94" t="n"/>
      <c r="G202" s="94" t="n"/>
      <c r="H202" s="91" t="n"/>
      <c r="I202" s="91" t="n"/>
      <c r="J202" s="91" t="n"/>
      <c r="K202" s="91" t="n"/>
      <c r="L202" s="91" t="n"/>
      <c r="M202" s="95" t="n"/>
      <c r="N202" s="91" t="n"/>
      <c r="O202" s="91" t="n"/>
      <c r="P202" s="91" t="n"/>
    </row>
    <row r="203" ht="32" customHeight="1">
      <c r="A203" s="92" t="n"/>
      <c r="B203" s="92" t="n"/>
      <c r="C203" s="92" t="n"/>
      <c r="D203" s="92" t="n"/>
      <c r="E203" s="92" t="n"/>
      <c r="F203" s="96" t="n"/>
      <c r="G203" s="96" t="n"/>
      <c r="H203" s="92" t="n"/>
      <c r="I203" s="92" t="n"/>
      <c r="J203" s="92" t="n"/>
      <c r="K203" s="92" t="n"/>
      <c r="L203" s="92" t="n"/>
      <c r="M203" s="97" t="n"/>
      <c r="N203" s="92" t="n"/>
      <c r="O203" s="92" t="n"/>
      <c r="P203" s="92" t="n"/>
    </row>
    <row r="204" ht="32" customHeight="1">
      <c r="A204" s="91" t="n"/>
      <c r="B204" s="91" t="n"/>
      <c r="C204" s="91" t="n"/>
      <c r="D204" s="91" t="n"/>
      <c r="E204" s="91" t="n"/>
      <c r="F204" s="94" t="n"/>
      <c r="G204" s="94" t="n"/>
      <c r="H204" s="91" t="n"/>
      <c r="I204" s="91" t="n"/>
      <c r="J204" s="91" t="n"/>
      <c r="K204" s="91" t="n"/>
      <c r="L204" s="91" t="n"/>
      <c r="M204" s="95" t="n"/>
      <c r="N204" s="91" t="n"/>
      <c r="O204" s="91" t="n"/>
      <c r="P204" s="91" t="n"/>
    </row>
    <row r="205" ht="32" customHeight="1">
      <c r="A205" s="92" t="n"/>
      <c r="B205" s="92" t="n"/>
      <c r="C205" s="92" t="n"/>
      <c r="D205" s="92" t="n"/>
      <c r="E205" s="92" t="n"/>
      <c r="F205" s="96" t="n"/>
      <c r="G205" s="96" t="n"/>
      <c r="H205" s="92" t="n"/>
      <c r="I205" s="92" t="n"/>
      <c r="J205" s="92" t="n"/>
      <c r="K205" s="92" t="n"/>
      <c r="L205" s="92" t="n"/>
      <c r="M205" s="97" t="n"/>
      <c r="N205" s="92" t="n"/>
      <c r="O205" s="92" t="n"/>
      <c r="P205" s="92" t="n"/>
    </row>
    <row r="206" ht="32" customHeight="1">
      <c r="A206" s="91" t="n"/>
      <c r="B206" s="91" t="n"/>
      <c r="C206" s="91" t="n"/>
      <c r="D206" s="91" t="n"/>
      <c r="E206" s="91" t="n"/>
      <c r="F206" s="94" t="n"/>
      <c r="G206" s="94" t="n"/>
      <c r="H206" s="91" t="n"/>
      <c r="I206" s="91" t="n"/>
      <c r="J206" s="91" t="n"/>
      <c r="K206" s="91" t="n"/>
      <c r="L206" s="91" t="n"/>
      <c r="M206" s="95" t="n"/>
      <c r="N206" s="91" t="n"/>
      <c r="O206" s="91" t="n"/>
      <c r="P206" s="91" t="n"/>
    </row>
    <row r="207" ht="32" customHeight="1">
      <c r="A207" s="92" t="n"/>
      <c r="B207" s="92" t="n"/>
      <c r="C207" s="92" t="n"/>
      <c r="D207" s="92" t="n"/>
      <c r="E207" s="92" t="n"/>
      <c r="F207" s="96" t="n"/>
      <c r="G207" s="96" t="n"/>
      <c r="H207" s="92" t="n"/>
      <c r="I207" s="92" t="n"/>
      <c r="J207" s="92" t="n"/>
      <c r="K207" s="92" t="n"/>
      <c r="L207" s="92" t="n"/>
      <c r="M207" s="97" t="n"/>
      <c r="N207" s="92" t="n"/>
      <c r="O207" s="92" t="n"/>
      <c r="P207" s="92" t="n"/>
    </row>
    <row r="208" ht="32" customHeight="1">
      <c r="A208" s="91" t="n"/>
      <c r="B208" s="91" t="n"/>
      <c r="C208" s="91" t="n"/>
      <c r="D208" s="91" t="n"/>
      <c r="E208" s="91" t="n"/>
      <c r="F208" s="94" t="n"/>
      <c r="G208" s="94" t="n"/>
      <c r="H208" s="91" t="n"/>
      <c r="I208" s="91" t="n"/>
      <c r="J208" s="91" t="n"/>
      <c r="K208" s="91" t="n"/>
      <c r="L208" s="91" t="n"/>
      <c r="M208" s="95" t="n"/>
      <c r="N208" s="91" t="n"/>
      <c r="O208" s="91" t="n"/>
      <c r="P208" s="91" t="n"/>
    </row>
    <row r="209" ht="32" customHeight="1">
      <c r="A209" s="92" t="n"/>
      <c r="B209" s="92" t="n"/>
      <c r="C209" s="92" t="n"/>
      <c r="D209" s="92" t="n"/>
      <c r="E209" s="92" t="n"/>
      <c r="F209" s="96" t="n"/>
      <c r="G209" s="96" t="n"/>
      <c r="H209" s="92" t="n"/>
      <c r="I209" s="92" t="n"/>
      <c r="J209" s="92" t="n"/>
      <c r="K209" s="92" t="n"/>
      <c r="L209" s="92" t="n"/>
      <c r="M209" s="97" t="n"/>
      <c r="N209" s="92" t="n"/>
      <c r="O209" s="92" t="n"/>
      <c r="P209" s="92" t="n"/>
    </row>
    <row r="210" ht="32" customHeight="1">
      <c r="A210" s="91" t="n"/>
      <c r="B210" s="91" t="n"/>
      <c r="C210" s="91" t="n"/>
      <c r="D210" s="91" t="n"/>
      <c r="E210" s="91" t="n"/>
      <c r="F210" s="94" t="n"/>
      <c r="G210" s="94" t="n"/>
      <c r="H210" s="91" t="n"/>
      <c r="I210" s="91" t="n"/>
      <c r="J210" s="91" t="n"/>
      <c r="K210" s="91" t="n"/>
      <c r="L210" s="91" t="n"/>
      <c r="M210" s="95" t="n"/>
      <c r="N210" s="91" t="n"/>
      <c r="O210" s="91" t="n"/>
      <c r="P210" s="91" t="n"/>
    </row>
    <row r="211" ht="32" customHeight="1">
      <c r="A211" s="92" t="n"/>
      <c r="B211" s="92" t="n"/>
      <c r="C211" s="92" t="n"/>
      <c r="D211" s="92" t="n"/>
      <c r="E211" s="92" t="n"/>
      <c r="F211" s="96" t="n"/>
      <c r="G211" s="96" t="n"/>
      <c r="H211" s="92" t="n"/>
      <c r="I211" s="92" t="n"/>
      <c r="J211" s="92" t="n"/>
      <c r="K211" s="92" t="n"/>
      <c r="L211" s="92" t="n"/>
      <c r="M211" s="97" t="n"/>
      <c r="N211" s="92" t="n"/>
      <c r="O211" s="92" t="n"/>
      <c r="P211" s="92" t="n"/>
    </row>
    <row r="212" ht="32" customHeight="1">
      <c r="A212" s="91" t="n"/>
      <c r="B212" s="91" t="n"/>
      <c r="C212" s="91" t="n"/>
      <c r="D212" s="91" t="n"/>
      <c r="E212" s="91" t="n"/>
      <c r="F212" s="94" t="n"/>
      <c r="G212" s="94" t="n"/>
      <c r="H212" s="91" t="n"/>
      <c r="I212" s="91" t="n"/>
      <c r="J212" s="91" t="n"/>
      <c r="K212" s="91" t="n"/>
      <c r="L212" s="91" t="n"/>
      <c r="M212" s="95" t="n"/>
      <c r="N212" s="91" t="n"/>
      <c r="O212" s="91" t="n"/>
      <c r="P212" s="91" t="n"/>
    </row>
    <row r="213" ht="32" customHeight="1">
      <c r="A213" s="92" t="n"/>
      <c r="B213" s="92" t="n"/>
      <c r="C213" s="92" t="n"/>
      <c r="D213" s="92" t="n"/>
      <c r="E213" s="92" t="n"/>
      <c r="F213" s="96" t="n"/>
      <c r="G213" s="96" t="n"/>
      <c r="H213" s="92" t="n"/>
      <c r="I213" s="92" t="n"/>
      <c r="J213" s="92" t="n"/>
      <c r="K213" s="92" t="n"/>
      <c r="L213" s="92" t="n"/>
      <c r="M213" s="97" t="n"/>
      <c r="N213" s="92" t="n"/>
      <c r="O213" s="92" t="n"/>
      <c r="P213" s="92" t="n"/>
    </row>
    <row r="214" ht="32" customHeight="1">
      <c r="A214" s="91" t="n"/>
      <c r="B214" s="91" t="n"/>
      <c r="C214" s="91" t="n"/>
      <c r="D214" s="91" t="n"/>
      <c r="E214" s="91" t="n"/>
      <c r="F214" s="94" t="n"/>
      <c r="G214" s="94" t="n"/>
      <c r="H214" s="91" t="n"/>
      <c r="I214" s="91" t="n"/>
      <c r="J214" s="91" t="n"/>
      <c r="K214" s="91" t="n"/>
      <c r="L214" s="91" t="n"/>
      <c r="M214" s="95" t="n"/>
      <c r="N214" s="91" t="n"/>
      <c r="O214" s="91" t="n"/>
      <c r="P214" s="91" t="n"/>
    </row>
    <row r="215" ht="32" customHeight="1">
      <c r="A215" s="92" t="n"/>
      <c r="B215" s="92" t="n"/>
      <c r="C215" s="92" t="n"/>
      <c r="D215" s="92" t="n"/>
      <c r="E215" s="92" t="n"/>
      <c r="F215" s="96" t="n"/>
      <c r="G215" s="96" t="n"/>
      <c r="H215" s="92" t="n"/>
      <c r="I215" s="92" t="n"/>
      <c r="J215" s="92" t="n"/>
      <c r="K215" s="92" t="n"/>
      <c r="L215" s="92" t="n"/>
      <c r="M215" s="97" t="n"/>
      <c r="N215" s="92" t="n"/>
      <c r="O215" s="92" t="n"/>
      <c r="P215" s="92" t="n"/>
    </row>
    <row r="216" ht="32" customHeight="1">
      <c r="A216" s="91" t="n"/>
      <c r="B216" s="91" t="n"/>
      <c r="C216" s="91" t="n"/>
      <c r="D216" s="91" t="n"/>
      <c r="E216" s="91" t="n"/>
      <c r="F216" s="94" t="n"/>
      <c r="G216" s="94" t="n"/>
      <c r="H216" s="91" t="n"/>
      <c r="I216" s="91" t="n"/>
      <c r="J216" s="91" t="n"/>
      <c r="K216" s="91" t="n"/>
      <c r="L216" s="91" t="n"/>
      <c r="M216" s="95" t="n"/>
      <c r="N216" s="91" t="n"/>
      <c r="O216" s="91" t="n"/>
      <c r="P216" s="91" t="n"/>
    </row>
    <row r="217" ht="32" customHeight="1">
      <c r="A217" s="92" t="n"/>
      <c r="B217" s="92" t="n"/>
      <c r="C217" s="92" t="n"/>
      <c r="D217" s="92" t="n"/>
      <c r="E217" s="92" t="n"/>
      <c r="F217" s="96" t="n"/>
      <c r="G217" s="96" t="n"/>
      <c r="H217" s="92" t="n"/>
      <c r="I217" s="92" t="n"/>
      <c r="J217" s="92" t="n"/>
      <c r="K217" s="92" t="n"/>
      <c r="L217" s="92" t="n"/>
      <c r="M217" s="97" t="n"/>
      <c r="N217" s="92" t="n"/>
      <c r="O217" s="92" t="n"/>
      <c r="P217" s="92" t="n"/>
    </row>
    <row r="218" ht="32" customHeight="1">
      <c r="A218" s="91" t="n"/>
      <c r="B218" s="91" t="n"/>
      <c r="C218" s="91" t="n"/>
      <c r="D218" s="91" t="n"/>
      <c r="E218" s="91" t="n"/>
      <c r="F218" s="94" t="n"/>
      <c r="G218" s="94" t="n"/>
      <c r="H218" s="91" t="n"/>
      <c r="I218" s="91" t="n"/>
      <c r="J218" s="91" t="n"/>
      <c r="K218" s="91" t="n"/>
      <c r="L218" s="91" t="n"/>
      <c r="M218" s="95" t="n"/>
      <c r="N218" s="91" t="n"/>
      <c r="O218" s="91" t="n"/>
      <c r="P218" s="91" t="n"/>
    </row>
    <row r="219" ht="32" customHeight="1">
      <c r="A219" s="92" t="n"/>
      <c r="B219" s="92" t="n"/>
      <c r="C219" s="92" t="n"/>
      <c r="D219" s="92" t="n"/>
      <c r="E219" s="92" t="n"/>
      <c r="F219" s="96" t="n"/>
      <c r="G219" s="96" t="n"/>
      <c r="H219" s="92" t="n"/>
      <c r="I219" s="92" t="n"/>
      <c r="J219" s="92" t="n"/>
      <c r="K219" s="92" t="n"/>
      <c r="L219" s="92" t="n"/>
      <c r="M219" s="97" t="n"/>
      <c r="N219" s="92" t="n"/>
      <c r="O219" s="92" t="n"/>
      <c r="P219" s="92" t="n"/>
    </row>
    <row r="220" ht="32" customHeight="1">
      <c r="A220" s="91" t="n"/>
      <c r="B220" s="91" t="n"/>
      <c r="C220" s="91" t="n"/>
      <c r="D220" s="91" t="n"/>
      <c r="E220" s="91" t="n"/>
      <c r="F220" s="94" t="n"/>
      <c r="G220" s="94" t="n"/>
      <c r="H220" s="91" t="n"/>
      <c r="I220" s="91" t="n"/>
      <c r="J220" s="91" t="n"/>
      <c r="K220" s="91" t="n"/>
      <c r="L220" s="91" t="n"/>
      <c r="M220" s="95" t="n"/>
      <c r="N220" s="91" t="n"/>
      <c r="O220" s="91" t="n"/>
      <c r="P220" s="91" t="n"/>
    </row>
    <row r="221" ht="32" customHeight="1">
      <c r="A221" s="92" t="n"/>
      <c r="B221" s="92" t="n"/>
      <c r="C221" s="92" t="n"/>
      <c r="D221" s="92" t="n"/>
      <c r="E221" s="92" t="n"/>
      <c r="F221" s="96" t="n"/>
      <c r="G221" s="96" t="n"/>
      <c r="H221" s="92" t="n"/>
      <c r="I221" s="92" t="n"/>
      <c r="J221" s="92" t="n"/>
      <c r="K221" s="92" t="n"/>
      <c r="L221" s="92" t="n"/>
      <c r="M221" s="97" t="n"/>
      <c r="N221" s="92" t="n"/>
      <c r="O221" s="92" t="n"/>
      <c r="P221" s="92" t="n"/>
    </row>
    <row r="222" ht="32" customHeight="1">
      <c r="A222" s="91" t="n"/>
      <c r="B222" s="91" t="n"/>
      <c r="C222" s="91" t="n"/>
      <c r="D222" s="91" t="n"/>
      <c r="E222" s="91" t="n"/>
      <c r="F222" s="94" t="n"/>
      <c r="G222" s="94" t="n"/>
      <c r="H222" s="91" t="n"/>
      <c r="I222" s="91" t="n"/>
      <c r="J222" s="91" t="n"/>
      <c r="K222" s="91" t="n"/>
      <c r="L222" s="91" t="n"/>
      <c r="M222" s="95" t="n"/>
      <c r="N222" s="91" t="n"/>
      <c r="O222" s="91" t="n"/>
      <c r="P222" s="91" t="n"/>
    </row>
    <row r="223" ht="32" customHeight="1">
      <c r="A223" s="92" t="n"/>
      <c r="B223" s="92" t="n"/>
      <c r="C223" s="92" t="n"/>
      <c r="D223" s="92" t="n"/>
      <c r="E223" s="92" t="n"/>
      <c r="F223" s="96" t="n"/>
      <c r="G223" s="96" t="n"/>
      <c r="H223" s="92" t="n"/>
      <c r="I223" s="92" t="n"/>
      <c r="J223" s="92" t="n"/>
      <c r="K223" s="92" t="n"/>
      <c r="L223" s="92" t="n"/>
      <c r="M223" s="97" t="n"/>
      <c r="N223" s="92" t="n"/>
      <c r="O223" s="92" t="n"/>
      <c r="P223" s="92" t="n"/>
    </row>
    <row r="224" ht="32" customHeight="1">
      <c r="A224" s="91" t="n"/>
      <c r="B224" s="91" t="n"/>
      <c r="C224" s="91" t="n"/>
      <c r="D224" s="91" t="n"/>
      <c r="E224" s="91" t="n"/>
      <c r="F224" s="94" t="n"/>
      <c r="G224" s="94" t="n"/>
      <c r="H224" s="91" t="n"/>
      <c r="I224" s="91" t="n"/>
      <c r="J224" s="91" t="n"/>
      <c r="K224" s="91" t="n"/>
      <c r="L224" s="91" t="n"/>
      <c r="M224" s="95" t="n"/>
      <c r="N224" s="91" t="n"/>
      <c r="O224" s="91" t="n"/>
      <c r="P224" s="91" t="n"/>
    </row>
    <row r="225" ht="32" customHeight="1">
      <c r="A225" s="92" t="n"/>
      <c r="B225" s="92" t="n"/>
      <c r="C225" s="92" t="n"/>
      <c r="D225" s="92" t="n"/>
      <c r="E225" s="92" t="n"/>
      <c r="F225" s="96" t="n"/>
      <c r="G225" s="96" t="n"/>
      <c r="H225" s="92" t="n"/>
      <c r="I225" s="92" t="n"/>
      <c r="J225" s="92" t="n"/>
      <c r="K225" s="92" t="n"/>
      <c r="L225" s="92" t="n"/>
      <c r="M225" s="97" t="n"/>
      <c r="N225" s="92" t="n"/>
      <c r="O225" s="92" t="n"/>
      <c r="P225" s="92" t="n"/>
    </row>
    <row r="226" ht="32" customHeight="1">
      <c r="A226" s="91" t="n"/>
      <c r="B226" s="91" t="n"/>
      <c r="C226" s="91" t="n"/>
      <c r="D226" s="91" t="n"/>
      <c r="E226" s="91" t="n"/>
      <c r="F226" s="94" t="n"/>
      <c r="G226" s="94" t="n"/>
      <c r="H226" s="91" t="n"/>
      <c r="I226" s="91" t="n"/>
      <c r="J226" s="91" t="n"/>
      <c r="K226" s="91" t="n"/>
      <c r="L226" s="91" t="n"/>
      <c r="M226" s="95" t="n"/>
      <c r="N226" s="91" t="n"/>
      <c r="O226" s="91" t="n"/>
      <c r="P226" s="91" t="n"/>
    </row>
    <row r="227" ht="32" customHeight="1">
      <c r="A227" s="92" t="n"/>
      <c r="B227" s="92" t="n"/>
      <c r="C227" s="92" t="n"/>
      <c r="D227" s="92" t="n"/>
      <c r="E227" s="92" t="n"/>
      <c r="F227" s="96" t="n"/>
      <c r="G227" s="96" t="n"/>
      <c r="H227" s="92" t="n"/>
      <c r="I227" s="92" t="n"/>
      <c r="J227" s="92" t="n"/>
      <c r="K227" s="92" t="n"/>
      <c r="L227" s="92" t="n"/>
      <c r="M227" s="97" t="n"/>
      <c r="N227" s="92" t="n"/>
      <c r="O227" s="92" t="n"/>
      <c r="P227" s="92" t="n"/>
    </row>
    <row r="228" ht="32" customHeight="1">
      <c r="A228" s="91" t="n"/>
      <c r="B228" s="91" t="n"/>
      <c r="C228" s="91" t="n"/>
      <c r="D228" s="91" t="n"/>
      <c r="E228" s="91" t="n"/>
      <c r="F228" s="94" t="n"/>
      <c r="G228" s="94" t="n"/>
      <c r="H228" s="91" t="n"/>
      <c r="I228" s="91" t="n"/>
      <c r="J228" s="91" t="n"/>
      <c r="K228" s="91" t="n"/>
      <c r="L228" s="91" t="n"/>
      <c r="M228" s="95" t="n"/>
      <c r="N228" s="91" t="n"/>
      <c r="O228" s="91" t="n"/>
      <c r="P228" s="91" t="n"/>
    </row>
    <row r="229" ht="32" customHeight="1">
      <c r="A229" s="92" t="n"/>
      <c r="B229" s="92" t="n"/>
      <c r="C229" s="92" t="n"/>
      <c r="D229" s="92" t="n"/>
      <c r="E229" s="92" t="n"/>
      <c r="F229" s="96" t="n"/>
      <c r="G229" s="96" t="n"/>
      <c r="H229" s="92" t="n"/>
      <c r="I229" s="92" t="n"/>
      <c r="J229" s="92" t="n"/>
      <c r="K229" s="92" t="n"/>
      <c r="L229" s="92" t="n"/>
      <c r="M229" s="97" t="n"/>
      <c r="N229" s="92" t="n"/>
      <c r="O229" s="92" t="n"/>
      <c r="P229" s="92" t="n"/>
    </row>
    <row r="230" ht="32" customHeight="1">
      <c r="A230" s="91" t="n"/>
      <c r="B230" s="91" t="n"/>
      <c r="C230" s="91" t="n"/>
      <c r="D230" s="91" t="n"/>
      <c r="E230" s="91" t="n"/>
      <c r="F230" s="94" t="n"/>
      <c r="G230" s="94" t="n"/>
      <c r="H230" s="91" t="n"/>
      <c r="I230" s="91" t="n"/>
      <c r="J230" s="91" t="n"/>
      <c r="K230" s="91" t="n"/>
      <c r="L230" s="91" t="n"/>
      <c r="M230" s="95" t="n"/>
      <c r="N230" s="91" t="n"/>
      <c r="O230" s="91" t="n"/>
      <c r="P230" s="91" t="n"/>
    </row>
    <row r="231" ht="32" customHeight="1">
      <c r="A231" s="92" t="n"/>
      <c r="B231" s="92" t="n"/>
      <c r="C231" s="92" t="n"/>
      <c r="D231" s="92" t="n"/>
      <c r="E231" s="92" t="n"/>
      <c r="F231" s="96" t="n"/>
      <c r="G231" s="96" t="n"/>
      <c r="H231" s="92" t="n"/>
      <c r="I231" s="92" t="n"/>
      <c r="J231" s="92" t="n"/>
      <c r="K231" s="92" t="n"/>
      <c r="L231" s="92" t="n"/>
      <c r="M231" s="97" t="n"/>
      <c r="N231" s="92" t="n"/>
      <c r="O231" s="92" t="n"/>
      <c r="P231" s="92" t="n"/>
    </row>
    <row r="232" ht="32" customHeight="1">
      <c r="A232" s="91" t="n"/>
      <c r="B232" s="91" t="n"/>
      <c r="C232" s="91" t="n"/>
      <c r="D232" s="91" t="n"/>
      <c r="E232" s="91" t="n"/>
      <c r="F232" s="94" t="n"/>
      <c r="G232" s="94" t="n"/>
      <c r="H232" s="91" t="n"/>
      <c r="I232" s="91" t="n"/>
      <c r="J232" s="91" t="n"/>
      <c r="K232" s="91" t="n"/>
      <c r="L232" s="91" t="n"/>
      <c r="M232" s="95" t="n"/>
      <c r="N232" s="91" t="n"/>
      <c r="O232" s="91" t="n"/>
      <c r="P232" s="91" t="n"/>
    </row>
    <row r="233" ht="32" customHeight="1">
      <c r="A233" s="92" t="n"/>
      <c r="B233" s="92" t="n"/>
      <c r="C233" s="92" t="n"/>
      <c r="D233" s="92" t="n"/>
      <c r="E233" s="92" t="n"/>
      <c r="F233" s="96" t="n"/>
      <c r="G233" s="96" t="n"/>
      <c r="H233" s="92" t="n"/>
      <c r="I233" s="92" t="n"/>
      <c r="J233" s="92" t="n"/>
      <c r="K233" s="92" t="n"/>
      <c r="L233" s="92" t="n"/>
      <c r="M233" s="97" t="n"/>
      <c r="N233" s="92" t="n"/>
      <c r="O233" s="92" t="n"/>
      <c r="P233" s="92" t="n"/>
    </row>
    <row r="234" ht="32" customHeight="1">
      <c r="A234" s="91" t="n"/>
      <c r="B234" s="91" t="n"/>
      <c r="C234" s="91" t="n"/>
      <c r="D234" s="91" t="n"/>
      <c r="E234" s="91" t="n"/>
      <c r="F234" s="94" t="n"/>
      <c r="G234" s="94" t="n"/>
      <c r="H234" s="91" t="n"/>
      <c r="I234" s="91" t="n"/>
      <c r="J234" s="91" t="n"/>
      <c r="K234" s="91" t="n"/>
      <c r="L234" s="91" t="n"/>
      <c r="M234" s="95" t="n"/>
      <c r="N234" s="91" t="n"/>
      <c r="O234" s="91" t="n"/>
      <c r="P234" s="91" t="n"/>
    </row>
    <row r="235" ht="32" customHeight="1">
      <c r="A235" s="92" t="n"/>
      <c r="B235" s="92" t="n"/>
      <c r="C235" s="92" t="n"/>
      <c r="D235" s="92" t="n"/>
      <c r="E235" s="92" t="n"/>
      <c r="F235" s="96" t="n"/>
      <c r="G235" s="96" t="n"/>
      <c r="H235" s="92" t="n"/>
      <c r="I235" s="92" t="n"/>
      <c r="J235" s="92" t="n"/>
      <c r="K235" s="92" t="n"/>
      <c r="L235" s="92" t="n"/>
      <c r="M235" s="97" t="n"/>
      <c r="N235" s="92" t="n"/>
      <c r="O235" s="92" t="n"/>
      <c r="P235" s="92" t="n"/>
    </row>
    <row r="236" ht="32" customHeight="1">
      <c r="A236" s="91" t="n"/>
      <c r="B236" s="91" t="n"/>
      <c r="C236" s="91" t="n"/>
      <c r="D236" s="91" t="n"/>
      <c r="E236" s="91" t="n"/>
      <c r="F236" s="94" t="n"/>
      <c r="G236" s="94" t="n"/>
      <c r="H236" s="91" t="n"/>
      <c r="I236" s="91" t="n"/>
      <c r="J236" s="91" t="n"/>
      <c r="K236" s="91" t="n"/>
      <c r="L236" s="91" t="n"/>
      <c r="M236" s="95" t="n"/>
      <c r="N236" s="91" t="n"/>
      <c r="O236" s="91" t="n"/>
      <c r="P236" s="91" t="n"/>
    </row>
    <row r="237" ht="32" customHeight="1">
      <c r="A237" s="92" t="n"/>
      <c r="B237" s="92" t="n"/>
      <c r="C237" s="92" t="n"/>
      <c r="D237" s="92" t="n"/>
      <c r="E237" s="92" t="n"/>
      <c r="F237" s="96" t="n"/>
      <c r="G237" s="96" t="n"/>
      <c r="H237" s="92" t="n"/>
      <c r="I237" s="92" t="n"/>
      <c r="J237" s="92" t="n"/>
      <c r="K237" s="92" t="n"/>
      <c r="L237" s="92" t="n"/>
      <c r="M237" s="97" t="n"/>
      <c r="N237" s="92" t="n"/>
      <c r="O237" s="92" t="n"/>
      <c r="P237" s="92" t="n"/>
    </row>
    <row r="238" ht="32" customHeight="1">
      <c r="A238" s="91" t="n"/>
      <c r="B238" s="91" t="n"/>
      <c r="C238" s="91" t="n"/>
      <c r="D238" s="91" t="n"/>
      <c r="E238" s="91" t="n"/>
      <c r="F238" s="94" t="n"/>
      <c r="G238" s="94" t="n"/>
      <c r="H238" s="91" t="n"/>
      <c r="I238" s="91" t="n"/>
      <c r="J238" s="91" t="n"/>
      <c r="K238" s="91" t="n"/>
      <c r="L238" s="91" t="n"/>
      <c r="M238" s="95" t="n"/>
      <c r="N238" s="91" t="n"/>
      <c r="O238" s="91" t="n"/>
      <c r="P238" s="91" t="n"/>
    </row>
    <row r="239" ht="32" customHeight="1">
      <c r="A239" s="92" t="n"/>
      <c r="B239" s="92" t="n"/>
      <c r="C239" s="92" t="n"/>
      <c r="D239" s="92" t="n"/>
      <c r="E239" s="92" t="n"/>
      <c r="F239" s="96" t="n"/>
      <c r="G239" s="96" t="n"/>
      <c r="H239" s="92" t="n"/>
      <c r="I239" s="92" t="n"/>
      <c r="J239" s="92" t="n"/>
      <c r="K239" s="92" t="n"/>
      <c r="L239" s="92" t="n"/>
      <c r="M239" s="97" t="n"/>
      <c r="N239" s="92" t="n"/>
      <c r="O239" s="92" t="n"/>
      <c r="P239" s="92" t="n"/>
    </row>
    <row r="240" ht="32" customHeight="1">
      <c r="A240" s="91" t="n"/>
      <c r="B240" s="91" t="n"/>
      <c r="C240" s="91" t="n"/>
      <c r="D240" s="91" t="n"/>
      <c r="E240" s="91" t="n"/>
      <c r="F240" s="94" t="n"/>
      <c r="G240" s="94" t="n"/>
      <c r="H240" s="91" t="n"/>
      <c r="I240" s="91" t="n"/>
      <c r="J240" s="91" t="n"/>
      <c r="K240" s="91" t="n"/>
      <c r="L240" s="91" t="n"/>
      <c r="M240" s="95" t="n"/>
      <c r="N240" s="91" t="n"/>
      <c r="O240" s="91" t="n"/>
      <c r="P240" s="91" t="n"/>
    </row>
    <row r="241" ht="32" customHeight="1">
      <c r="A241" s="92" t="n"/>
      <c r="B241" s="92" t="n"/>
      <c r="C241" s="92" t="n"/>
      <c r="D241" s="92" t="n"/>
      <c r="E241" s="92" t="n"/>
      <c r="F241" s="96" t="n"/>
      <c r="G241" s="96" t="n"/>
      <c r="H241" s="92" t="n"/>
      <c r="I241" s="92" t="n"/>
      <c r="J241" s="92" t="n"/>
      <c r="K241" s="92" t="n"/>
      <c r="L241" s="92" t="n"/>
      <c r="M241" s="97" t="n"/>
      <c r="N241" s="92" t="n"/>
      <c r="O241" s="92" t="n"/>
      <c r="P241" s="92" t="n"/>
    </row>
    <row r="242" ht="32" customHeight="1">
      <c r="A242" s="91" t="n"/>
      <c r="B242" s="91" t="n"/>
      <c r="C242" s="91" t="n"/>
      <c r="D242" s="91" t="n"/>
      <c r="E242" s="91" t="n"/>
      <c r="F242" s="94" t="n"/>
      <c r="G242" s="94" t="n"/>
      <c r="H242" s="91" t="n"/>
      <c r="I242" s="91" t="n"/>
      <c r="J242" s="91" t="n"/>
      <c r="K242" s="91" t="n"/>
      <c r="L242" s="91" t="n"/>
      <c r="M242" s="95" t="n"/>
      <c r="N242" s="91" t="n"/>
      <c r="O242" s="91" t="n"/>
      <c r="P242" s="91" t="n"/>
    </row>
    <row r="243" ht="32" customHeight="1">
      <c r="A243" s="92" t="n"/>
      <c r="B243" s="92" t="n"/>
      <c r="C243" s="92" t="n"/>
      <c r="D243" s="92" t="n"/>
      <c r="E243" s="92" t="n"/>
      <c r="F243" s="96" t="n"/>
      <c r="G243" s="96" t="n"/>
      <c r="H243" s="92" t="n"/>
      <c r="I243" s="92" t="n"/>
      <c r="J243" s="92" t="n"/>
      <c r="K243" s="92" t="n"/>
      <c r="L243" s="92" t="n"/>
      <c r="M243" s="97" t="n"/>
      <c r="N243" s="92" t="n"/>
      <c r="O243" s="92" t="n"/>
      <c r="P243" s="92" t="n"/>
    </row>
    <row r="244" ht="32" customHeight="1">
      <c r="A244" s="91" t="n"/>
      <c r="B244" s="91" t="n"/>
      <c r="C244" s="91" t="n"/>
      <c r="D244" s="91" t="n"/>
      <c r="E244" s="91" t="n"/>
      <c r="F244" s="94" t="n"/>
      <c r="G244" s="94" t="n"/>
      <c r="H244" s="91" t="n"/>
      <c r="I244" s="91" t="n"/>
      <c r="J244" s="91" t="n"/>
      <c r="K244" s="91" t="n"/>
      <c r="L244" s="91" t="n"/>
      <c r="M244" s="95" t="n"/>
      <c r="N244" s="91" t="n"/>
      <c r="O244" s="91" t="n"/>
      <c r="P244" s="91" t="n"/>
    </row>
    <row r="245" ht="32" customHeight="1">
      <c r="A245" s="92" t="n"/>
      <c r="B245" s="92" t="n"/>
      <c r="C245" s="92" t="n"/>
      <c r="D245" s="92" t="n"/>
      <c r="E245" s="92" t="n"/>
      <c r="F245" s="96" t="n"/>
      <c r="G245" s="96" t="n"/>
      <c r="H245" s="92" t="n"/>
      <c r="I245" s="92" t="n"/>
      <c r="J245" s="92" t="n"/>
      <c r="K245" s="92" t="n"/>
      <c r="L245" s="92" t="n"/>
      <c r="M245" s="97" t="n"/>
      <c r="N245" s="92" t="n"/>
      <c r="O245" s="92" t="n"/>
      <c r="P245" s="92" t="n"/>
    </row>
    <row r="246" ht="32" customHeight="1">
      <c r="A246" s="91" t="n"/>
      <c r="B246" s="91" t="n"/>
      <c r="C246" s="91" t="n"/>
      <c r="D246" s="91" t="n"/>
      <c r="E246" s="91" t="n"/>
      <c r="F246" s="94" t="n"/>
      <c r="G246" s="94" t="n"/>
      <c r="H246" s="91" t="n"/>
      <c r="I246" s="91" t="n"/>
      <c r="J246" s="91" t="n"/>
      <c r="K246" s="91" t="n"/>
      <c r="L246" s="91" t="n"/>
      <c r="M246" s="95" t="n"/>
      <c r="N246" s="91" t="n"/>
      <c r="O246" s="91" t="n"/>
      <c r="P246" s="91" t="n"/>
    </row>
    <row r="247" ht="32" customHeight="1">
      <c r="A247" s="92" t="n"/>
      <c r="B247" s="92" t="n"/>
      <c r="C247" s="92" t="n"/>
      <c r="D247" s="92" t="n"/>
      <c r="E247" s="92" t="n"/>
      <c r="F247" s="96" t="n"/>
      <c r="G247" s="96" t="n"/>
      <c r="H247" s="92" t="n"/>
      <c r="I247" s="92" t="n"/>
      <c r="J247" s="92" t="n"/>
      <c r="K247" s="92" t="n"/>
      <c r="L247" s="92" t="n"/>
      <c r="M247" s="97" t="n"/>
      <c r="N247" s="92" t="n"/>
      <c r="O247" s="92" t="n"/>
      <c r="P247" s="92" t="n"/>
    </row>
    <row r="248" ht="32" customHeight="1">
      <c r="A248" s="91" t="n"/>
      <c r="B248" s="91" t="n"/>
      <c r="C248" s="91" t="n"/>
      <c r="D248" s="91" t="n"/>
      <c r="E248" s="91" t="n"/>
      <c r="F248" s="94" t="n"/>
      <c r="G248" s="94" t="n"/>
      <c r="H248" s="91" t="n"/>
      <c r="I248" s="91" t="n"/>
      <c r="J248" s="91" t="n"/>
      <c r="K248" s="91" t="n"/>
      <c r="L248" s="91" t="n"/>
      <c r="M248" s="95" t="n"/>
      <c r="N248" s="91" t="n"/>
      <c r="O248" s="91" t="n"/>
      <c r="P248" s="91" t="n"/>
    </row>
    <row r="249" ht="32" customHeight="1">
      <c r="A249" s="92" t="n"/>
      <c r="B249" s="92" t="n"/>
      <c r="C249" s="92" t="n"/>
      <c r="D249" s="92" t="n"/>
      <c r="E249" s="92" t="n"/>
      <c r="F249" s="96" t="n"/>
      <c r="G249" s="96" t="n"/>
      <c r="H249" s="92" t="n"/>
      <c r="I249" s="92" t="n"/>
      <c r="J249" s="92" t="n"/>
      <c r="K249" s="92" t="n"/>
      <c r="L249" s="92" t="n"/>
      <c r="M249" s="97" t="n"/>
      <c r="N249" s="92" t="n"/>
      <c r="O249" s="92" t="n"/>
      <c r="P249" s="92" t="n"/>
    </row>
    <row r="250" ht="32" customHeight="1">
      <c r="A250" s="91" t="n"/>
      <c r="B250" s="91" t="n"/>
      <c r="C250" s="91" t="n"/>
      <c r="D250" s="91" t="n"/>
      <c r="E250" s="91" t="n"/>
      <c r="F250" s="94" t="n"/>
      <c r="G250" s="94" t="n"/>
      <c r="H250" s="91" t="n"/>
      <c r="I250" s="91" t="n"/>
      <c r="J250" s="91" t="n"/>
      <c r="K250" s="91" t="n"/>
      <c r="L250" s="91" t="n"/>
      <c r="M250" s="95" t="n"/>
      <c r="N250" s="91" t="n"/>
      <c r="O250" s="91" t="n"/>
      <c r="P250" s="91" t="n"/>
    </row>
    <row r="251" ht="32" customHeight="1">
      <c r="A251" s="92" t="n"/>
      <c r="B251" s="92" t="n"/>
      <c r="C251" s="92" t="n"/>
      <c r="D251" s="92" t="n"/>
      <c r="E251" s="92" t="n"/>
      <c r="F251" s="96" t="n"/>
      <c r="G251" s="96" t="n"/>
      <c r="H251" s="92" t="n"/>
      <c r="I251" s="92" t="n"/>
      <c r="J251" s="92" t="n"/>
      <c r="K251" s="92" t="n"/>
      <c r="L251" s="92" t="n"/>
      <c r="M251" s="97" t="n"/>
      <c r="N251" s="92" t="n"/>
      <c r="O251" s="92" t="n"/>
      <c r="P251" s="92" t="n"/>
    </row>
    <row r="252" ht="32" customHeight="1">
      <c r="A252" s="91" t="n"/>
      <c r="B252" s="91" t="n"/>
      <c r="C252" s="91" t="n"/>
      <c r="D252" s="91" t="n"/>
      <c r="E252" s="91" t="n"/>
      <c r="F252" s="94" t="n"/>
      <c r="G252" s="94" t="n"/>
      <c r="H252" s="91" t="n"/>
      <c r="I252" s="91" t="n"/>
      <c r="J252" s="91" t="n"/>
      <c r="K252" s="91" t="n"/>
      <c r="L252" s="91" t="n"/>
      <c r="M252" s="95" t="n"/>
      <c r="N252" s="91" t="n"/>
      <c r="O252" s="91" t="n"/>
      <c r="P252" s="91" t="n"/>
    </row>
    <row r="253" ht="32" customHeight="1">
      <c r="A253" s="92" t="n"/>
      <c r="B253" s="92" t="n"/>
      <c r="C253" s="92" t="n"/>
      <c r="D253" s="92" t="n"/>
      <c r="E253" s="92" t="n"/>
      <c r="F253" s="96" t="n"/>
      <c r="G253" s="96" t="n"/>
      <c r="H253" s="92" t="n"/>
      <c r="I253" s="92" t="n"/>
      <c r="J253" s="92" t="n"/>
      <c r="K253" s="92" t="n"/>
      <c r="L253" s="92" t="n"/>
      <c r="M253" s="97" t="n"/>
      <c r="N253" s="92" t="n"/>
      <c r="O253" s="92" t="n"/>
      <c r="P253" s="92" t="n"/>
    </row>
    <row r="254" ht="32" customHeight="1">
      <c r="A254" s="91" t="n"/>
      <c r="B254" s="91" t="n"/>
      <c r="C254" s="91" t="n"/>
      <c r="D254" s="91" t="n"/>
      <c r="E254" s="91" t="n"/>
      <c r="F254" s="94" t="n"/>
      <c r="G254" s="94" t="n"/>
      <c r="H254" s="91" t="n"/>
      <c r="I254" s="91" t="n"/>
      <c r="J254" s="91" t="n"/>
      <c r="K254" s="91" t="n"/>
      <c r="L254" s="91" t="n"/>
      <c r="M254" s="95" t="n"/>
      <c r="N254" s="91" t="n"/>
      <c r="O254" s="91" t="n"/>
      <c r="P254" s="91" t="n"/>
    </row>
    <row r="255" ht="32" customHeight="1">
      <c r="A255" s="92" t="n"/>
      <c r="B255" s="92" t="n"/>
      <c r="C255" s="92" t="n"/>
      <c r="D255" s="92" t="n"/>
      <c r="E255" s="92" t="n"/>
      <c r="F255" s="96" t="n"/>
      <c r="G255" s="96" t="n"/>
      <c r="H255" s="92" t="n"/>
      <c r="I255" s="92" t="n"/>
      <c r="J255" s="92" t="n"/>
      <c r="K255" s="92" t="n"/>
      <c r="L255" s="92" t="n"/>
      <c r="M255" s="97" t="n"/>
      <c r="N255" s="92" t="n"/>
      <c r="O255" s="92" t="n"/>
      <c r="P255" s="92" t="n"/>
    </row>
    <row r="256" ht="32" customHeight="1">
      <c r="A256" s="91" t="n"/>
      <c r="B256" s="91" t="n"/>
      <c r="C256" s="91" t="n"/>
      <c r="D256" s="91" t="n"/>
      <c r="E256" s="91" t="n"/>
      <c r="F256" s="94" t="n"/>
      <c r="G256" s="94" t="n"/>
      <c r="H256" s="91" t="n"/>
      <c r="I256" s="91" t="n"/>
      <c r="J256" s="91" t="n"/>
      <c r="K256" s="91" t="n"/>
      <c r="L256" s="91" t="n"/>
      <c r="M256" s="95" t="n"/>
      <c r="N256" s="91" t="n"/>
      <c r="O256" s="91" t="n"/>
      <c r="P256" s="91" t="n"/>
    </row>
    <row r="257" ht="32" customHeight="1">
      <c r="A257" s="92" t="n"/>
      <c r="B257" s="92" t="n"/>
      <c r="C257" s="92" t="n"/>
      <c r="D257" s="92" t="n"/>
      <c r="E257" s="92" t="n"/>
      <c r="F257" s="96" t="n"/>
      <c r="G257" s="96" t="n"/>
      <c r="H257" s="92" t="n"/>
      <c r="I257" s="92" t="n"/>
      <c r="J257" s="92" t="n"/>
      <c r="K257" s="92" t="n"/>
      <c r="L257" s="92" t="n"/>
      <c r="M257" s="97" t="n"/>
      <c r="N257" s="92" t="n"/>
      <c r="O257" s="92" t="n"/>
      <c r="P257" s="92" t="n"/>
    </row>
    <row r="258" ht="32" customHeight="1">
      <c r="A258" s="91" t="n"/>
      <c r="B258" s="91" t="n"/>
      <c r="C258" s="91" t="n"/>
      <c r="D258" s="91" t="n"/>
      <c r="E258" s="91" t="n"/>
      <c r="F258" s="94" t="n"/>
      <c r="G258" s="94" t="n"/>
      <c r="H258" s="91" t="n"/>
      <c r="I258" s="91" t="n"/>
      <c r="J258" s="91" t="n"/>
      <c r="K258" s="91" t="n"/>
      <c r="L258" s="91" t="n"/>
      <c r="M258" s="95" t="n"/>
      <c r="N258" s="91" t="n"/>
      <c r="O258" s="91" t="n"/>
      <c r="P258" s="91" t="n"/>
    </row>
    <row r="259" ht="32" customHeight="1">
      <c r="A259" s="92" t="n"/>
      <c r="B259" s="92" t="n"/>
      <c r="C259" s="92" t="n"/>
      <c r="D259" s="92" t="n"/>
      <c r="E259" s="92" t="n"/>
      <c r="F259" s="96" t="n"/>
      <c r="G259" s="96" t="n"/>
      <c r="H259" s="92" t="n"/>
      <c r="I259" s="92" t="n"/>
      <c r="J259" s="92" t="n"/>
      <c r="K259" s="92" t="n"/>
      <c r="L259" s="92" t="n"/>
      <c r="M259" s="97" t="n"/>
      <c r="N259" s="92" t="n"/>
      <c r="O259" s="92" t="n"/>
      <c r="P259" s="92" t="n"/>
    </row>
    <row r="260" ht="32" customHeight="1">
      <c r="A260" s="91" t="n"/>
      <c r="B260" s="91" t="n"/>
      <c r="C260" s="91" t="n"/>
      <c r="D260" s="91" t="n"/>
      <c r="E260" s="91" t="n"/>
      <c r="F260" s="94" t="n"/>
      <c r="G260" s="94" t="n"/>
      <c r="H260" s="91" t="n"/>
      <c r="I260" s="91" t="n"/>
      <c r="J260" s="91" t="n"/>
      <c r="K260" s="91" t="n"/>
      <c r="L260" s="91" t="n"/>
      <c r="M260" s="95" t="n"/>
      <c r="N260" s="91" t="n"/>
      <c r="O260" s="91" t="n"/>
      <c r="P260" s="91" t="n"/>
    </row>
    <row r="261" ht="32" customHeight="1">
      <c r="A261" s="92" t="n"/>
      <c r="B261" s="92" t="n"/>
      <c r="C261" s="92" t="n"/>
      <c r="D261" s="92" t="n"/>
      <c r="E261" s="92" t="n"/>
      <c r="F261" s="96" t="n"/>
      <c r="G261" s="96" t="n"/>
      <c r="H261" s="92" t="n"/>
      <c r="I261" s="92" t="n"/>
      <c r="J261" s="92" t="n"/>
      <c r="K261" s="92" t="n"/>
      <c r="L261" s="92" t="n"/>
      <c r="M261" s="97" t="n"/>
      <c r="N261" s="92" t="n"/>
      <c r="O261" s="92" t="n"/>
      <c r="P261" s="92" t="n"/>
    </row>
    <row r="262" ht="32" customHeight="1">
      <c r="A262" s="91" t="n"/>
      <c r="B262" s="91" t="n"/>
      <c r="C262" s="91" t="n"/>
      <c r="D262" s="91" t="n"/>
      <c r="E262" s="91" t="n"/>
      <c r="F262" s="94" t="n"/>
      <c r="G262" s="94" t="n"/>
      <c r="H262" s="91" t="n"/>
      <c r="I262" s="91" t="n"/>
      <c r="J262" s="91" t="n"/>
      <c r="K262" s="91" t="n"/>
      <c r="L262" s="91" t="n"/>
      <c r="M262" s="95" t="n"/>
      <c r="N262" s="91" t="n"/>
      <c r="O262" s="91" t="n"/>
      <c r="P262" s="91" t="n"/>
    </row>
    <row r="263" ht="32" customHeight="1">
      <c r="A263" s="92" t="n"/>
      <c r="B263" s="92" t="n"/>
      <c r="C263" s="92" t="n"/>
      <c r="D263" s="92" t="n"/>
      <c r="E263" s="92" t="n"/>
      <c r="F263" s="96" t="n"/>
      <c r="G263" s="96" t="n"/>
      <c r="H263" s="92" t="n"/>
      <c r="I263" s="92" t="n"/>
      <c r="J263" s="92" t="n"/>
      <c r="K263" s="92" t="n"/>
      <c r="L263" s="92" t="n"/>
      <c r="M263" s="97" t="n"/>
      <c r="N263" s="92" t="n"/>
      <c r="O263" s="92" t="n"/>
      <c r="P263" s="92" t="n"/>
    </row>
    <row r="264" ht="32" customHeight="1">
      <c r="A264" s="91" t="n"/>
      <c r="B264" s="91" t="n"/>
      <c r="C264" s="91" t="n"/>
      <c r="D264" s="91" t="n"/>
      <c r="E264" s="91" t="n"/>
      <c r="F264" s="94" t="n"/>
      <c r="G264" s="94" t="n"/>
      <c r="H264" s="91" t="n"/>
      <c r="I264" s="91" t="n"/>
      <c r="J264" s="91" t="n"/>
      <c r="K264" s="91" t="n"/>
      <c r="L264" s="91" t="n"/>
      <c r="M264" s="95" t="n"/>
      <c r="N264" s="91" t="n"/>
      <c r="O264" s="91" t="n"/>
      <c r="P264" s="91" t="n"/>
    </row>
    <row r="265" ht="32" customHeight="1">
      <c r="A265" s="92" t="n"/>
      <c r="B265" s="92" t="n"/>
      <c r="C265" s="92" t="n"/>
      <c r="D265" s="92" t="n"/>
      <c r="E265" s="92" t="n"/>
      <c r="F265" s="96" t="n"/>
      <c r="G265" s="96" t="n"/>
      <c r="H265" s="92" t="n"/>
      <c r="I265" s="92" t="n"/>
      <c r="J265" s="92" t="n"/>
      <c r="K265" s="92" t="n"/>
      <c r="L265" s="92" t="n"/>
      <c r="M265" s="97" t="n"/>
      <c r="N265" s="92" t="n"/>
      <c r="O265" s="92" t="n"/>
      <c r="P265" s="92" t="n"/>
    </row>
    <row r="266" ht="32" customHeight="1">
      <c r="A266" s="91" t="n"/>
      <c r="B266" s="91" t="n"/>
      <c r="C266" s="91" t="n"/>
      <c r="D266" s="91" t="n"/>
      <c r="E266" s="91" t="n"/>
      <c r="F266" s="94" t="n"/>
      <c r="G266" s="94" t="n"/>
      <c r="H266" s="91" t="n"/>
      <c r="I266" s="91" t="n"/>
      <c r="J266" s="91" t="n"/>
      <c r="K266" s="91" t="n"/>
      <c r="L266" s="91" t="n"/>
      <c r="M266" s="95" t="n"/>
      <c r="N266" s="91" t="n"/>
      <c r="O266" s="91" t="n"/>
      <c r="P266" s="91" t="n"/>
    </row>
    <row r="267" ht="32" customHeight="1">
      <c r="A267" s="92" t="n"/>
      <c r="B267" s="92" t="n"/>
      <c r="C267" s="92" t="n"/>
      <c r="D267" s="92" t="n"/>
      <c r="E267" s="92" t="n"/>
      <c r="F267" s="96" t="n"/>
      <c r="G267" s="96" t="n"/>
      <c r="H267" s="92" t="n"/>
      <c r="I267" s="92" t="n"/>
      <c r="J267" s="92" t="n"/>
      <c r="K267" s="92" t="n"/>
      <c r="L267" s="92" t="n"/>
      <c r="M267" s="97" t="n"/>
      <c r="N267" s="92" t="n"/>
      <c r="O267" s="92" t="n"/>
      <c r="P267" s="92" t="n"/>
    </row>
    <row r="268" ht="32" customHeight="1">
      <c r="A268" s="91" t="n"/>
      <c r="B268" s="91" t="n"/>
      <c r="C268" s="91" t="n"/>
      <c r="D268" s="91" t="n"/>
      <c r="E268" s="91" t="n"/>
      <c r="F268" s="94" t="n"/>
      <c r="G268" s="94" t="n"/>
      <c r="H268" s="91" t="n"/>
      <c r="I268" s="91" t="n"/>
      <c r="J268" s="91" t="n"/>
      <c r="K268" s="91" t="n"/>
      <c r="L268" s="91" t="n"/>
      <c r="M268" s="95" t="n"/>
      <c r="N268" s="91" t="n"/>
      <c r="O268" s="91" t="n"/>
      <c r="P268" s="91" t="n"/>
    </row>
    <row r="269" ht="32" customHeight="1">
      <c r="A269" s="92" t="n"/>
      <c r="B269" s="92" t="n"/>
      <c r="C269" s="92" t="n"/>
      <c r="D269" s="92" t="n"/>
      <c r="E269" s="92" t="n"/>
      <c r="F269" s="96" t="n"/>
      <c r="G269" s="96" t="n"/>
      <c r="H269" s="92" t="n"/>
      <c r="I269" s="92" t="n"/>
      <c r="J269" s="92" t="n"/>
      <c r="K269" s="92" t="n"/>
      <c r="L269" s="92" t="n"/>
      <c r="M269" s="97" t="n"/>
      <c r="N269" s="92" t="n"/>
      <c r="O269" s="92" t="n"/>
      <c r="P269" s="92" t="n"/>
    </row>
    <row r="270" ht="32" customHeight="1">
      <c r="A270" s="91" t="n"/>
      <c r="B270" s="91" t="n"/>
      <c r="C270" s="91" t="n"/>
      <c r="D270" s="91" t="n"/>
      <c r="E270" s="91" t="n"/>
      <c r="F270" s="94" t="n"/>
      <c r="G270" s="94" t="n"/>
      <c r="H270" s="91" t="n"/>
      <c r="I270" s="91" t="n"/>
      <c r="J270" s="91" t="n"/>
      <c r="K270" s="91" t="n"/>
      <c r="L270" s="91" t="n"/>
      <c r="M270" s="95" t="n"/>
      <c r="N270" s="91" t="n"/>
      <c r="O270" s="91" t="n"/>
      <c r="P270" s="91" t="n"/>
    </row>
    <row r="271" ht="32" customHeight="1">
      <c r="A271" s="92" t="n"/>
      <c r="B271" s="92" t="n"/>
      <c r="C271" s="92" t="n"/>
      <c r="D271" s="92" t="n"/>
      <c r="E271" s="92" t="n"/>
      <c r="F271" s="96" t="n"/>
      <c r="G271" s="96" t="n"/>
      <c r="H271" s="92" t="n"/>
      <c r="I271" s="92" t="n"/>
      <c r="J271" s="92" t="n"/>
      <c r="K271" s="92" t="n"/>
      <c r="L271" s="92" t="n"/>
      <c r="M271" s="97" t="n"/>
      <c r="N271" s="92" t="n"/>
      <c r="O271" s="92" t="n"/>
      <c r="P271" s="92" t="n"/>
    </row>
    <row r="272" ht="32" customHeight="1">
      <c r="A272" s="91" t="n"/>
      <c r="B272" s="91" t="n"/>
      <c r="C272" s="91" t="n"/>
      <c r="D272" s="91" t="n"/>
      <c r="E272" s="91" t="n"/>
      <c r="F272" s="94" t="n"/>
      <c r="G272" s="94" t="n"/>
      <c r="H272" s="91" t="n"/>
      <c r="I272" s="91" t="n"/>
      <c r="J272" s="91" t="n"/>
      <c r="K272" s="91" t="n"/>
      <c r="L272" s="91" t="n"/>
      <c r="M272" s="95" t="n"/>
      <c r="N272" s="91" t="n"/>
      <c r="O272" s="91" t="n"/>
      <c r="P272" s="91" t="n"/>
    </row>
    <row r="273" ht="32" customHeight="1">
      <c r="A273" s="92" t="n"/>
      <c r="B273" s="92" t="n"/>
      <c r="C273" s="92" t="n"/>
      <c r="D273" s="92" t="n"/>
      <c r="E273" s="92" t="n"/>
      <c r="F273" s="96" t="n"/>
      <c r="G273" s="96" t="n"/>
      <c r="H273" s="92" t="n"/>
      <c r="I273" s="92" t="n"/>
      <c r="J273" s="92" t="n"/>
      <c r="K273" s="92" t="n"/>
      <c r="L273" s="92" t="n"/>
      <c r="M273" s="97" t="n"/>
      <c r="N273" s="92" t="n"/>
      <c r="O273" s="92" t="n"/>
      <c r="P273" s="92" t="n"/>
    </row>
    <row r="274" ht="32" customHeight="1">
      <c r="A274" s="91" t="n"/>
      <c r="B274" s="91" t="n"/>
      <c r="C274" s="91" t="n"/>
      <c r="D274" s="91" t="n"/>
      <c r="E274" s="91" t="n"/>
      <c r="F274" s="94" t="n"/>
      <c r="G274" s="94" t="n"/>
      <c r="H274" s="91" t="n"/>
      <c r="I274" s="91" t="n"/>
      <c r="J274" s="91" t="n"/>
      <c r="K274" s="91" t="n"/>
      <c r="L274" s="91" t="n"/>
      <c r="M274" s="95" t="n"/>
      <c r="N274" s="91" t="n"/>
      <c r="O274" s="91" t="n"/>
      <c r="P274" s="91" t="n"/>
    </row>
    <row r="275" ht="32" customHeight="1">
      <c r="A275" s="92" t="n"/>
      <c r="B275" s="92" t="n"/>
      <c r="C275" s="92" t="n"/>
      <c r="D275" s="92" t="n"/>
      <c r="E275" s="92" t="n"/>
      <c r="F275" s="96" t="n"/>
      <c r="G275" s="96" t="n"/>
      <c r="H275" s="92" t="n"/>
      <c r="I275" s="92" t="n"/>
      <c r="J275" s="92" t="n"/>
      <c r="K275" s="92" t="n"/>
      <c r="L275" s="92" t="n"/>
      <c r="M275" s="97" t="n"/>
      <c r="N275" s="92" t="n"/>
      <c r="O275" s="92" t="n"/>
      <c r="P275" s="92" t="n"/>
    </row>
    <row r="276" ht="32" customHeight="1">
      <c r="A276" s="91" t="n"/>
      <c r="B276" s="91" t="n"/>
      <c r="C276" s="91" t="n"/>
      <c r="D276" s="91" t="n"/>
      <c r="E276" s="91" t="n"/>
      <c r="F276" s="94" t="n"/>
      <c r="G276" s="94" t="n"/>
      <c r="H276" s="91" t="n"/>
      <c r="I276" s="91" t="n"/>
      <c r="J276" s="91" t="n"/>
      <c r="K276" s="91" t="n"/>
      <c r="L276" s="91" t="n"/>
      <c r="M276" s="95" t="n"/>
      <c r="N276" s="91" t="n"/>
      <c r="O276" s="91" t="n"/>
      <c r="P276" s="91" t="n"/>
    </row>
    <row r="277" ht="32" customHeight="1">
      <c r="A277" s="92" t="n"/>
      <c r="B277" s="92" t="n"/>
      <c r="C277" s="92" t="n"/>
      <c r="D277" s="92" t="n"/>
      <c r="E277" s="92" t="n"/>
      <c r="F277" s="96" t="n"/>
      <c r="G277" s="96" t="n"/>
      <c r="H277" s="92" t="n"/>
      <c r="I277" s="92" t="n"/>
      <c r="J277" s="92" t="n"/>
      <c r="K277" s="92" t="n"/>
      <c r="L277" s="92" t="n"/>
      <c r="M277" s="97" t="n"/>
      <c r="N277" s="92" t="n"/>
      <c r="O277" s="92" t="n"/>
      <c r="P277" s="92" t="n"/>
    </row>
    <row r="278" ht="32" customHeight="1">
      <c r="A278" s="91" t="n"/>
      <c r="B278" s="91" t="n"/>
      <c r="C278" s="91" t="n"/>
      <c r="D278" s="91" t="n"/>
      <c r="E278" s="91" t="n"/>
      <c r="F278" s="94" t="n"/>
      <c r="G278" s="94" t="n"/>
      <c r="H278" s="91" t="n"/>
      <c r="I278" s="91" t="n"/>
      <c r="J278" s="91" t="n"/>
      <c r="K278" s="91" t="n"/>
      <c r="L278" s="91" t="n"/>
      <c r="M278" s="95" t="n"/>
      <c r="N278" s="91" t="n"/>
      <c r="O278" s="91" t="n"/>
      <c r="P278" s="91" t="n"/>
    </row>
    <row r="279" ht="32" customHeight="1">
      <c r="A279" s="92" t="n"/>
      <c r="B279" s="92" t="n"/>
      <c r="C279" s="92" t="n"/>
      <c r="D279" s="92" t="n"/>
      <c r="E279" s="92" t="n"/>
      <c r="F279" s="96" t="n"/>
      <c r="G279" s="96" t="n"/>
      <c r="H279" s="92" t="n"/>
      <c r="I279" s="92" t="n"/>
      <c r="J279" s="92" t="n"/>
      <c r="K279" s="92" t="n"/>
      <c r="L279" s="92" t="n"/>
      <c r="M279" s="97" t="n"/>
      <c r="N279" s="92" t="n"/>
      <c r="O279" s="92" t="n"/>
      <c r="P279" s="92" t="n"/>
    </row>
    <row r="280" ht="32" customHeight="1">
      <c r="A280" s="91" t="n"/>
      <c r="B280" s="91" t="n"/>
      <c r="C280" s="91" t="n"/>
      <c r="D280" s="91" t="n"/>
      <c r="E280" s="91" t="n"/>
      <c r="F280" s="94" t="n"/>
      <c r="G280" s="94" t="n"/>
      <c r="H280" s="91" t="n"/>
      <c r="I280" s="91" t="n"/>
      <c r="J280" s="91" t="n"/>
      <c r="K280" s="91" t="n"/>
      <c r="L280" s="91" t="n"/>
      <c r="M280" s="95" t="n"/>
      <c r="N280" s="91" t="n"/>
      <c r="O280" s="91" t="n"/>
      <c r="P280" s="91" t="n"/>
    </row>
    <row r="281" ht="32" customHeight="1">
      <c r="A281" s="92" t="n"/>
      <c r="B281" s="92" t="n"/>
      <c r="C281" s="92" t="n"/>
      <c r="D281" s="92" t="n"/>
      <c r="E281" s="92" t="n"/>
      <c r="F281" s="96" t="n"/>
      <c r="G281" s="96" t="n"/>
      <c r="H281" s="92" t="n"/>
      <c r="I281" s="92" t="n"/>
      <c r="J281" s="92" t="n"/>
      <c r="K281" s="92" t="n"/>
      <c r="L281" s="92" t="n"/>
      <c r="M281" s="97" t="n"/>
      <c r="N281" s="92" t="n"/>
      <c r="O281" s="92" t="n"/>
      <c r="P281" s="92" t="n"/>
    </row>
    <row r="282" ht="32" customHeight="1">
      <c r="A282" s="91" t="n"/>
      <c r="B282" s="91" t="n"/>
      <c r="C282" s="91" t="n"/>
      <c r="D282" s="91" t="n"/>
      <c r="E282" s="91" t="n"/>
      <c r="F282" s="94" t="n"/>
      <c r="G282" s="94" t="n"/>
      <c r="H282" s="91" t="n"/>
      <c r="I282" s="91" t="n"/>
      <c r="J282" s="91" t="n"/>
      <c r="K282" s="91" t="n"/>
      <c r="L282" s="91" t="n"/>
      <c r="M282" s="95" t="n"/>
      <c r="N282" s="91" t="n"/>
      <c r="O282" s="91" t="n"/>
      <c r="P282" s="91" t="n"/>
    </row>
    <row r="283" ht="32" customHeight="1">
      <c r="A283" s="92" t="n"/>
      <c r="B283" s="92" t="n"/>
      <c r="C283" s="92" t="n"/>
      <c r="D283" s="92" t="n"/>
      <c r="E283" s="92" t="n"/>
      <c r="F283" s="96" t="n"/>
      <c r="G283" s="96" t="n"/>
      <c r="H283" s="92" t="n"/>
      <c r="I283" s="92" t="n"/>
      <c r="J283" s="92" t="n"/>
      <c r="K283" s="92" t="n"/>
      <c r="L283" s="92" t="n"/>
      <c r="M283" s="97" t="n"/>
      <c r="N283" s="92" t="n"/>
      <c r="O283" s="92" t="n"/>
      <c r="P283" s="92" t="n"/>
    </row>
    <row r="284" ht="32" customHeight="1">
      <c r="A284" s="91" t="n"/>
      <c r="B284" s="91" t="n"/>
      <c r="C284" s="91" t="n"/>
      <c r="D284" s="91" t="n"/>
      <c r="E284" s="91" t="n"/>
      <c r="F284" s="94" t="n"/>
      <c r="G284" s="94" t="n"/>
      <c r="H284" s="91" t="n"/>
      <c r="I284" s="91" t="n"/>
      <c r="J284" s="91" t="n"/>
      <c r="K284" s="91" t="n"/>
      <c r="L284" s="91" t="n"/>
      <c r="M284" s="95" t="n"/>
      <c r="N284" s="91" t="n"/>
      <c r="O284" s="91" t="n"/>
      <c r="P284" s="91" t="n"/>
    </row>
    <row r="285" ht="32" customHeight="1">
      <c r="A285" s="92" t="n"/>
      <c r="B285" s="92" t="n"/>
      <c r="C285" s="92" t="n"/>
      <c r="D285" s="92" t="n"/>
      <c r="E285" s="92" t="n"/>
      <c r="F285" s="96" t="n"/>
      <c r="G285" s="96" t="n"/>
      <c r="H285" s="92" t="n"/>
      <c r="I285" s="92" t="n"/>
      <c r="J285" s="92" t="n"/>
      <c r="K285" s="92" t="n"/>
      <c r="L285" s="92" t="n"/>
      <c r="M285" s="97" t="n"/>
      <c r="N285" s="92" t="n"/>
      <c r="O285" s="92" t="n"/>
      <c r="P285" s="92" t="n"/>
    </row>
    <row r="286" ht="32" customHeight="1">
      <c r="A286" s="91" t="n"/>
      <c r="B286" s="91" t="n"/>
      <c r="C286" s="91" t="n"/>
      <c r="D286" s="91" t="n"/>
      <c r="E286" s="91" t="n"/>
      <c r="F286" s="94" t="n"/>
      <c r="G286" s="94" t="n"/>
      <c r="H286" s="91" t="n"/>
      <c r="I286" s="91" t="n"/>
      <c r="J286" s="91" t="n"/>
      <c r="K286" s="91" t="n"/>
      <c r="L286" s="91" t="n"/>
      <c r="M286" s="95" t="n"/>
      <c r="N286" s="91" t="n"/>
      <c r="O286" s="91" t="n"/>
      <c r="P286" s="91" t="n"/>
    </row>
    <row r="287" ht="32" customHeight="1">
      <c r="A287" s="92" t="n"/>
      <c r="B287" s="92" t="n"/>
      <c r="C287" s="92" t="n"/>
      <c r="D287" s="92" t="n"/>
      <c r="E287" s="92" t="n"/>
      <c r="F287" s="96" t="n"/>
      <c r="G287" s="96" t="n"/>
      <c r="H287" s="92" t="n"/>
      <c r="I287" s="92" t="n"/>
      <c r="J287" s="92" t="n"/>
      <c r="K287" s="92" t="n"/>
      <c r="L287" s="92" t="n"/>
      <c r="M287" s="97" t="n"/>
      <c r="N287" s="92" t="n"/>
      <c r="O287" s="92" t="n"/>
      <c r="P287" s="92" t="n"/>
    </row>
    <row r="288" ht="32" customHeight="1">
      <c r="A288" s="91" t="n"/>
      <c r="B288" s="91" t="n"/>
      <c r="C288" s="91" t="n"/>
      <c r="D288" s="91" t="n"/>
      <c r="E288" s="91" t="n"/>
      <c r="F288" s="94" t="n"/>
      <c r="G288" s="94" t="n"/>
      <c r="H288" s="91" t="n"/>
      <c r="I288" s="91" t="n"/>
      <c r="J288" s="91" t="n"/>
      <c r="K288" s="91" t="n"/>
      <c r="L288" s="91" t="n"/>
      <c r="M288" s="95" t="n"/>
      <c r="N288" s="91" t="n"/>
      <c r="O288" s="91" t="n"/>
      <c r="P288" s="91" t="n"/>
    </row>
    <row r="289" ht="32" customHeight="1">
      <c r="A289" s="92" t="n"/>
      <c r="B289" s="92" t="n"/>
      <c r="C289" s="92" t="n"/>
      <c r="D289" s="92" t="n"/>
      <c r="E289" s="92" t="n"/>
      <c r="F289" s="96" t="n"/>
      <c r="G289" s="96" t="n"/>
      <c r="H289" s="92" t="n"/>
      <c r="I289" s="92" t="n"/>
      <c r="J289" s="92" t="n"/>
      <c r="K289" s="92" t="n"/>
      <c r="L289" s="92" t="n"/>
      <c r="M289" s="97" t="n"/>
      <c r="N289" s="92" t="n"/>
      <c r="O289" s="92" t="n"/>
      <c r="P289" s="92" t="n"/>
    </row>
    <row r="290" ht="32" customHeight="1">
      <c r="A290" s="91" t="n"/>
      <c r="B290" s="91" t="n"/>
      <c r="C290" s="91" t="n"/>
      <c r="D290" s="91" t="n"/>
      <c r="E290" s="91" t="n"/>
      <c r="F290" s="94" t="n"/>
      <c r="G290" s="94" t="n"/>
      <c r="H290" s="91" t="n"/>
      <c r="I290" s="91" t="n"/>
      <c r="J290" s="91" t="n"/>
      <c r="K290" s="91" t="n"/>
      <c r="L290" s="91" t="n"/>
      <c r="M290" s="95" t="n"/>
      <c r="N290" s="91" t="n"/>
      <c r="O290" s="91" t="n"/>
      <c r="P290" s="91" t="n"/>
    </row>
    <row r="291" ht="32" customHeight="1">
      <c r="A291" s="92" t="n"/>
      <c r="B291" s="92" t="n"/>
      <c r="C291" s="92" t="n"/>
      <c r="D291" s="92" t="n"/>
      <c r="E291" s="92" t="n"/>
      <c r="F291" s="96" t="n"/>
      <c r="G291" s="96" t="n"/>
      <c r="H291" s="92" t="n"/>
      <c r="I291" s="92" t="n"/>
      <c r="J291" s="92" t="n"/>
      <c r="K291" s="92" t="n"/>
      <c r="L291" s="92" t="n"/>
      <c r="M291" s="97" t="n"/>
      <c r="N291" s="92" t="n"/>
      <c r="O291" s="92" t="n"/>
      <c r="P291" s="92" t="n"/>
    </row>
    <row r="292" ht="32" customHeight="1">
      <c r="A292" s="91" t="n"/>
      <c r="B292" s="91" t="n"/>
      <c r="C292" s="91" t="n"/>
      <c r="D292" s="91" t="n"/>
      <c r="E292" s="91" t="n"/>
      <c r="F292" s="94" t="n"/>
      <c r="G292" s="94" t="n"/>
      <c r="H292" s="91" t="n"/>
      <c r="I292" s="91" t="n"/>
      <c r="J292" s="91" t="n"/>
      <c r="K292" s="91" t="n"/>
      <c r="L292" s="91" t="n"/>
      <c r="M292" s="95" t="n"/>
      <c r="N292" s="91" t="n"/>
      <c r="O292" s="91" t="n"/>
      <c r="P292" s="91" t="n"/>
    </row>
    <row r="293" ht="32" customHeight="1">
      <c r="A293" s="92" t="n"/>
      <c r="B293" s="92" t="n"/>
      <c r="C293" s="92" t="n"/>
      <c r="D293" s="92" t="n"/>
      <c r="E293" s="92" t="n"/>
      <c r="F293" s="96" t="n"/>
      <c r="G293" s="96" t="n"/>
      <c r="H293" s="92" t="n"/>
      <c r="I293" s="92" t="n"/>
      <c r="J293" s="92" t="n"/>
      <c r="K293" s="92" t="n"/>
      <c r="L293" s="92" t="n"/>
      <c r="M293" s="97" t="n"/>
      <c r="N293" s="92" t="n"/>
      <c r="O293" s="92" t="n"/>
      <c r="P293" s="92" t="n"/>
    </row>
    <row r="294" ht="32" customHeight="1">
      <c r="A294" s="91" t="n"/>
      <c r="B294" s="91" t="n"/>
      <c r="C294" s="91" t="n"/>
      <c r="D294" s="91" t="n"/>
      <c r="E294" s="91" t="n"/>
      <c r="F294" s="94" t="n"/>
      <c r="G294" s="94" t="n"/>
      <c r="H294" s="91" t="n"/>
      <c r="I294" s="91" t="n"/>
      <c r="J294" s="91" t="n"/>
      <c r="K294" s="91" t="n"/>
      <c r="L294" s="91" t="n"/>
      <c r="M294" s="95" t="n"/>
      <c r="N294" s="91" t="n"/>
      <c r="O294" s="91" t="n"/>
      <c r="P294" s="91" t="n"/>
    </row>
    <row r="295" ht="32" customHeight="1">
      <c r="A295" s="92" t="n"/>
      <c r="B295" s="92" t="n"/>
      <c r="C295" s="92" t="n"/>
      <c r="D295" s="92" t="n"/>
      <c r="E295" s="92" t="n"/>
      <c r="F295" s="96" t="n"/>
      <c r="G295" s="96" t="n"/>
      <c r="H295" s="92" t="n"/>
      <c r="I295" s="92" t="n"/>
      <c r="J295" s="92" t="n"/>
      <c r="K295" s="92" t="n"/>
      <c r="L295" s="92" t="n"/>
      <c r="M295" s="97" t="n"/>
      <c r="N295" s="92" t="n"/>
      <c r="O295" s="92" t="n"/>
      <c r="P295" s="92" t="n"/>
    </row>
    <row r="296" ht="32" customHeight="1">
      <c r="A296" s="91" t="n"/>
      <c r="B296" s="91" t="n"/>
      <c r="C296" s="91" t="n"/>
      <c r="D296" s="91" t="n"/>
      <c r="E296" s="91" t="n"/>
      <c r="F296" s="94" t="n"/>
      <c r="G296" s="94" t="n"/>
      <c r="H296" s="91" t="n"/>
      <c r="I296" s="91" t="n"/>
      <c r="J296" s="91" t="n"/>
      <c r="K296" s="91" t="n"/>
      <c r="L296" s="91" t="n"/>
      <c r="M296" s="95" t="n"/>
      <c r="N296" s="91" t="n"/>
      <c r="O296" s="91" t="n"/>
      <c r="P296" s="91" t="n"/>
    </row>
    <row r="297" ht="32" customHeight="1">
      <c r="A297" s="92" t="n"/>
      <c r="B297" s="92" t="n"/>
      <c r="C297" s="92" t="n"/>
      <c r="D297" s="92" t="n"/>
      <c r="E297" s="92" t="n"/>
      <c r="F297" s="96" t="n"/>
      <c r="G297" s="96" t="n"/>
      <c r="H297" s="92" t="n"/>
      <c r="I297" s="92" t="n"/>
      <c r="J297" s="92" t="n"/>
      <c r="K297" s="92" t="n"/>
      <c r="L297" s="92" t="n"/>
      <c r="M297" s="97" t="n"/>
      <c r="N297" s="92" t="n"/>
      <c r="O297" s="92" t="n"/>
      <c r="P297" s="92" t="n"/>
    </row>
    <row r="298" ht="32" customHeight="1">
      <c r="A298" s="91" t="n"/>
      <c r="B298" s="91" t="n"/>
      <c r="C298" s="91" t="n"/>
      <c r="D298" s="91" t="n"/>
      <c r="E298" s="91" t="n"/>
      <c r="F298" s="94" t="n"/>
      <c r="G298" s="94" t="n"/>
      <c r="H298" s="91" t="n"/>
      <c r="I298" s="91" t="n"/>
      <c r="J298" s="91" t="n"/>
      <c r="K298" s="91" t="n"/>
      <c r="L298" s="91" t="n"/>
      <c r="M298" s="95" t="n"/>
      <c r="N298" s="91" t="n"/>
      <c r="O298" s="91" t="n"/>
      <c r="P298" s="91" t="n"/>
    </row>
    <row r="299" ht="32" customHeight="1">
      <c r="A299" s="92" t="n"/>
      <c r="B299" s="92" t="n"/>
      <c r="C299" s="92" t="n"/>
      <c r="D299" s="92" t="n"/>
      <c r="E299" s="92" t="n"/>
      <c r="F299" s="96" t="n"/>
      <c r="G299" s="96" t="n"/>
      <c r="H299" s="92" t="n"/>
      <c r="I299" s="92" t="n"/>
      <c r="J299" s="92" t="n"/>
      <c r="K299" s="92" t="n"/>
      <c r="L299" s="92" t="n"/>
      <c r="M299" s="97" t="n"/>
      <c r="N299" s="92" t="n"/>
      <c r="O299" s="92" t="n"/>
      <c r="P299" s="92" t="n"/>
    </row>
    <row r="300" ht="32" customHeight="1">
      <c r="A300" s="91" t="n"/>
      <c r="B300" s="91" t="n"/>
      <c r="C300" s="91" t="n"/>
      <c r="D300" s="91" t="n"/>
      <c r="E300" s="91" t="n"/>
      <c r="F300" s="94" t="n"/>
      <c r="G300" s="94" t="n"/>
      <c r="H300" s="91" t="n"/>
      <c r="I300" s="91" t="n"/>
      <c r="J300" s="91" t="n"/>
      <c r="K300" s="91" t="n"/>
      <c r="L300" s="91" t="n"/>
      <c r="M300" s="95" t="n"/>
      <c r="N300" s="91" t="n"/>
      <c r="O300" s="91" t="n"/>
      <c r="P300" s="91" t="n"/>
    </row>
    <row r="301" ht="32" customHeight="1">
      <c r="A301" s="92" t="n"/>
      <c r="B301" s="92" t="n"/>
      <c r="C301" s="92" t="n"/>
      <c r="D301" s="92" t="n"/>
      <c r="E301" s="92" t="n"/>
      <c r="F301" s="96" t="n"/>
      <c r="G301" s="96" t="n"/>
      <c r="H301" s="92" t="n"/>
      <c r="I301" s="92" t="n"/>
      <c r="J301" s="92" t="n"/>
      <c r="K301" s="92" t="n"/>
      <c r="L301" s="92" t="n"/>
      <c r="M301" s="97" t="n"/>
      <c r="N301" s="92" t="n"/>
      <c r="O301" s="92" t="n"/>
      <c r="P301" s="92" t="n"/>
    </row>
    <row r="302" ht="32" customHeight="1">
      <c r="A302" s="91" t="n"/>
      <c r="B302" s="91" t="n"/>
      <c r="C302" s="91" t="n"/>
      <c r="D302" s="91" t="n"/>
      <c r="E302" s="91" t="n"/>
      <c r="F302" s="94" t="n"/>
      <c r="G302" s="94" t="n"/>
      <c r="H302" s="91" t="n"/>
      <c r="I302" s="91" t="n"/>
      <c r="J302" s="91" t="n"/>
      <c r="K302" s="91" t="n"/>
      <c r="L302" s="91" t="n"/>
      <c r="M302" s="95" t="n"/>
      <c r="N302" s="91" t="n"/>
      <c r="O302" s="91" t="n"/>
      <c r="P302" s="91" t="n"/>
    </row>
    <row r="303" ht="32" customHeight="1">
      <c r="A303" s="92" t="n"/>
      <c r="B303" s="92" t="n"/>
      <c r="C303" s="92" t="n"/>
      <c r="D303" s="92" t="n"/>
      <c r="E303" s="92" t="n"/>
      <c r="F303" s="96" t="n"/>
      <c r="G303" s="96" t="n"/>
      <c r="H303" s="92" t="n"/>
      <c r="I303" s="92" t="n"/>
      <c r="J303" s="92" t="n"/>
      <c r="K303" s="92" t="n"/>
      <c r="L303" s="92" t="n"/>
      <c r="M303" s="97" t="n"/>
      <c r="N303" s="92" t="n"/>
      <c r="O303" s="92" t="n"/>
      <c r="P303" s="92" t="n"/>
    </row>
    <row r="304" ht="32" customHeight="1">
      <c r="A304" s="91" t="n"/>
      <c r="B304" s="91" t="n"/>
      <c r="C304" s="91" t="n"/>
      <c r="D304" s="91" t="n"/>
      <c r="E304" s="91" t="n"/>
      <c r="F304" s="94" t="n"/>
      <c r="G304" s="94" t="n"/>
      <c r="H304" s="91" t="n"/>
      <c r="I304" s="91" t="n"/>
      <c r="J304" s="91" t="n"/>
      <c r="K304" s="91" t="n"/>
      <c r="L304" s="91" t="n"/>
      <c r="M304" s="95" t="n"/>
      <c r="N304" s="91" t="n"/>
      <c r="O304" s="91" t="n"/>
      <c r="P304" s="91" t="n"/>
    </row>
    <row r="305" ht="32" customHeight="1">
      <c r="A305" s="92" t="n"/>
      <c r="B305" s="92" t="n"/>
      <c r="C305" s="92" t="n"/>
      <c r="D305" s="92" t="n"/>
      <c r="E305" s="92" t="n"/>
      <c r="F305" s="96" t="n"/>
      <c r="G305" s="96" t="n"/>
      <c r="H305" s="92" t="n"/>
      <c r="I305" s="92" t="n"/>
      <c r="J305" s="92" t="n"/>
      <c r="K305" s="92" t="n"/>
      <c r="L305" s="92" t="n"/>
      <c r="M305" s="97" t="n"/>
      <c r="N305" s="92" t="n"/>
      <c r="O305" s="92" t="n"/>
      <c r="P305" s="92" t="n"/>
    </row>
    <row r="306" ht="32" customHeight="1">
      <c r="A306" s="91" t="n"/>
      <c r="B306" s="91" t="n"/>
      <c r="C306" s="91" t="n"/>
      <c r="D306" s="91" t="n"/>
      <c r="E306" s="91" t="n"/>
      <c r="F306" s="94" t="n"/>
      <c r="G306" s="94" t="n"/>
      <c r="H306" s="91" t="n"/>
      <c r="I306" s="91" t="n"/>
      <c r="J306" s="91" t="n"/>
      <c r="K306" s="91" t="n"/>
      <c r="L306" s="91" t="n"/>
      <c r="M306" s="95" t="n"/>
      <c r="N306" s="91" t="n"/>
      <c r="O306" s="91" t="n"/>
      <c r="P306" s="91" t="n"/>
    </row>
    <row r="307" ht="32" customHeight="1">
      <c r="A307" s="92" t="n"/>
      <c r="B307" s="92" t="n"/>
      <c r="C307" s="92" t="n"/>
      <c r="D307" s="92" t="n"/>
      <c r="E307" s="92" t="n"/>
      <c r="F307" s="96" t="n"/>
      <c r="G307" s="96" t="n"/>
      <c r="H307" s="92" t="n"/>
      <c r="I307" s="92" t="n"/>
      <c r="J307" s="92" t="n"/>
      <c r="K307" s="92" t="n"/>
      <c r="L307" s="92" t="n"/>
      <c r="M307" s="97" t="n"/>
      <c r="N307" s="92" t="n"/>
      <c r="O307" s="92" t="n"/>
      <c r="P307" s="92" t="n"/>
    </row>
    <row r="308" ht="32" customHeight="1">
      <c r="A308" s="91" t="n"/>
      <c r="B308" s="91" t="n"/>
      <c r="C308" s="91" t="n"/>
      <c r="D308" s="91" t="n"/>
      <c r="E308" s="91" t="n"/>
      <c r="F308" s="94" t="n"/>
      <c r="G308" s="94" t="n"/>
      <c r="H308" s="91" t="n"/>
      <c r="I308" s="91" t="n"/>
      <c r="J308" s="91" t="n"/>
      <c r="K308" s="91" t="n"/>
      <c r="L308" s="91" t="n"/>
      <c r="M308" s="95" t="n"/>
      <c r="N308" s="91" t="n"/>
      <c r="O308" s="91" t="n"/>
      <c r="P308" s="91" t="n"/>
    </row>
    <row r="309" ht="32" customHeight="1">
      <c r="A309" s="92" t="n"/>
      <c r="B309" s="92" t="n"/>
      <c r="C309" s="92" t="n"/>
      <c r="D309" s="92" t="n"/>
      <c r="E309" s="92" t="n"/>
      <c r="F309" s="96" t="n"/>
      <c r="G309" s="96" t="n"/>
      <c r="H309" s="92" t="n"/>
      <c r="I309" s="92" t="n"/>
      <c r="J309" s="92" t="n"/>
      <c r="K309" s="92" t="n"/>
      <c r="L309" s="92" t="n"/>
      <c r="M309" s="97" t="n"/>
      <c r="N309" s="92" t="n"/>
      <c r="O309" s="92" t="n"/>
      <c r="P309" s="92" t="n"/>
    </row>
    <row r="310" ht="32" customHeight="1">
      <c r="A310" s="91" t="n"/>
      <c r="B310" s="91" t="n"/>
      <c r="C310" s="91" t="n"/>
      <c r="D310" s="91" t="n"/>
      <c r="E310" s="91" t="n"/>
      <c r="F310" s="94" t="n"/>
      <c r="G310" s="94" t="n"/>
      <c r="H310" s="91" t="n"/>
      <c r="I310" s="91" t="n"/>
      <c r="J310" s="91" t="n"/>
      <c r="K310" s="91" t="n"/>
      <c r="L310" s="91" t="n"/>
      <c r="M310" s="95" t="n"/>
      <c r="N310" s="91" t="n"/>
      <c r="O310" s="91" t="n"/>
      <c r="P310" s="91" t="n"/>
    </row>
    <row r="311" ht="32" customHeight="1">
      <c r="A311" s="92" t="n"/>
      <c r="B311" s="92" t="n"/>
      <c r="C311" s="92" t="n"/>
      <c r="D311" s="92" t="n"/>
      <c r="E311" s="92" t="n"/>
      <c r="F311" s="96" t="n"/>
      <c r="G311" s="96" t="n"/>
      <c r="H311" s="92" t="n"/>
      <c r="I311" s="92" t="n"/>
      <c r="J311" s="92" t="n"/>
      <c r="K311" s="92" t="n"/>
      <c r="L311" s="92" t="n"/>
      <c r="M311" s="97" t="n"/>
      <c r="N311" s="92" t="n"/>
      <c r="O311" s="92" t="n"/>
      <c r="P311" s="92" t="n"/>
    </row>
    <row r="312" ht="32" customHeight="1">
      <c r="A312" s="91" t="n"/>
      <c r="B312" s="91" t="n"/>
      <c r="C312" s="91" t="n"/>
      <c r="D312" s="91" t="n"/>
      <c r="E312" s="91" t="n"/>
      <c r="F312" s="94" t="n"/>
      <c r="G312" s="94" t="n"/>
      <c r="H312" s="91" t="n"/>
      <c r="I312" s="91" t="n"/>
      <c r="J312" s="91" t="n"/>
      <c r="K312" s="91" t="n"/>
      <c r="L312" s="91" t="n"/>
      <c r="M312" s="95" t="n"/>
      <c r="N312" s="91" t="n"/>
      <c r="O312" s="91" t="n"/>
      <c r="P312" s="91" t="n"/>
    </row>
    <row r="313" ht="32" customHeight="1">
      <c r="A313" s="92" t="n"/>
      <c r="B313" s="92" t="n"/>
      <c r="C313" s="92" t="n"/>
      <c r="D313" s="92" t="n"/>
      <c r="E313" s="92" t="n"/>
      <c r="F313" s="96" t="n"/>
      <c r="G313" s="96" t="n"/>
      <c r="H313" s="92" t="n"/>
      <c r="I313" s="92" t="n"/>
      <c r="J313" s="92" t="n"/>
      <c r="K313" s="92" t="n"/>
      <c r="L313" s="92" t="n"/>
      <c r="M313" s="97" t="n"/>
      <c r="N313" s="92" t="n"/>
      <c r="O313" s="92" t="n"/>
      <c r="P313" s="92" t="n"/>
    </row>
    <row r="314" ht="32" customHeight="1">
      <c r="A314" s="91" t="n"/>
      <c r="B314" s="91" t="n"/>
      <c r="C314" s="91" t="n"/>
      <c r="D314" s="91" t="n"/>
      <c r="E314" s="91" t="n"/>
      <c r="F314" s="94" t="n"/>
      <c r="G314" s="94" t="n"/>
      <c r="H314" s="91" t="n"/>
      <c r="I314" s="91" t="n"/>
      <c r="J314" s="91" t="n"/>
      <c r="K314" s="91" t="n"/>
      <c r="L314" s="91" t="n"/>
      <c r="M314" s="95" t="n"/>
      <c r="N314" s="91" t="n"/>
      <c r="O314" s="91" t="n"/>
      <c r="P314" s="91" t="n"/>
    </row>
    <row r="315" ht="32" customHeight="1">
      <c r="A315" s="92" t="n"/>
      <c r="B315" s="92" t="n"/>
      <c r="C315" s="92" t="n"/>
      <c r="D315" s="92" t="n"/>
      <c r="E315" s="92" t="n"/>
      <c r="F315" s="96" t="n"/>
      <c r="G315" s="96" t="n"/>
      <c r="H315" s="92" t="n"/>
      <c r="I315" s="92" t="n"/>
      <c r="J315" s="92" t="n"/>
      <c r="K315" s="92" t="n"/>
      <c r="L315" s="92" t="n"/>
      <c r="M315" s="97" t="n"/>
      <c r="N315" s="92" t="n"/>
      <c r="O315" s="92" t="n"/>
      <c r="P315" s="92" t="n"/>
    </row>
    <row r="316" ht="32" customHeight="1">
      <c r="A316" s="91" t="n"/>
      <c r="B316" s="91" t="n"/>
      <c r="C316" s="91" t="n"/>
      <c r="D316" s="91" t="n"/>
      <c r="E316" s="91" t="n"/>
      <c r="F316" s="94" t="n"/>
      <c r="G316" s="94" t="n"/>
      <c r="H316" s="91" t="n"/>
      <c r="I316" s="91" t="n"/>
      <c r="J316" s="91" t="n"/>
      <c r="K316" s="91" t="n"/>
      <c r="L316" s="91" t="n"/>
      <c r="M316" s="95" t="n"/>
      <c r="N316" s="91" t="n"/>
      <c r="O316" s="91" t="n"/>
      <c r="P316" s="91" t="n"/>
    </row>
    <row r="317" ht="32" customHeight="1">
      <c r="A317" s="92" t="n"/>
      <c r="B317" s="92" t="n"/>
      <c r="C317" s="92" t="n"/>
      <c r="D317" s="92" t="n"/>
      <c r="E317" s="92" t="n"/>
      <c r="F317" s="96" t="n"/>
      <c r="G317" s="96" t="n"/>
      <c r="H317" s="92" t="n"/>
      <c r="I317" s="92" t="n"/>
      <c r="J317" s="92" t="n"/>
      <c r="K317" s="92" t="n"/>
      <c r="L317" s="92" t="n"/>
      <c r="M317" s="97" t="n"/>
      <c r="N317" s="92" t="n"/>
      <c r="O317" s="92" t="n"/>
      <c r="P317" s="92" t="n"/>
    </row>
    <row r="318" ht="32" customHeight="1">
      <c r="A318" s="91" t="n"/>
      <c r="B318" s="91" t="n"/>
      <c r="C318" s="91" t="n"/>
      <c r="D318" s="91" t="n"/>
      <c r="E318" s="91" t="n"/>
      <c r="F318" s="94" t="n"/>
      <c r="G318" s="94" t="n"/>
      <c r="H318" s="91" t="n"/>
      <c r="I318" s="91" t="n"/>
      <c r="J318" s="91" t="n"/>
      <c r="K318" s="91" t="n"/>
      <c r="L318" s="91" t="n"/>
      <c r="M318" s="95" t="n"/>
      <c r="N318" s="91" t="n"/>
      <c r="O318" s="91" t="n"/>
      <c r="P318" s="91" t="n"/>
    </row>
    <row r="319" ht="32" customHeight="1">
      <c r="A319" s="92" t="n"/>
      <c r="B319" s="92" t="n"/>
      <c r="C319" s="92" t="n"/>
      <c r="D319" s="92" t="n"/>
      <c r="E319" s="92" t="n"/>
      <c r="F319" s="96" t="n"/>
      <c r="G319" s="96" t="n"/>
      <c r="H319" s="92" t="n"/>
      <c r="I319" s="92" t="n"/>
      <c r="J319" s="92" t="n"/>
      <c r="K319" s="92" t="n"/>
      <c r="L319" s="92" t="n"/>
      <c r="M319" s="97" t="n"/>
      <c r="N319" s="92" t="n"/>
      <c r="O319" s="92" t="n"/>
      <c r="P319" s="92" t="n"/>
    </row>
    <row r="320" ht="32" customHeight="1">
      <c r="A320" s="91" t="n"/>
      <c r="B320" s="91" t="n"/>
      <c r="C320" s="91" t="n"/>
      <c r="D320" s="91" t="n"/>
      <c r="E320" s="91" t="n"/>
      <c r="F320" s="94" t="n"/>
      <c r="G320" s="94" t="n"/>
      <c r="H320" s="91" t="n"/>
      <c r="I320" s="91" t="n"/>
      <c r="J320" s="91" t="n"/>
      <c r="K320" s="91" t="n"/>
      <c r="L320" s="91" t="n"/>
      <c r="M320" s="95" t="n"/>
      <c r="N320" s="91" t="n"/>
      <c r="O320" s="91" t="n"/>
      <c r="P320" s="91" t="n"/>
    </row>
    <row r="321" ht="32" customHeight="1">
      <c r="A321" s="92" t="n"/>
      <c r="B321" s="92" t="n"/>
      <c r="C321" s="92" t="n"/>
      <c r="D321" s="92" t="n"/>
      <c r="E321" s="92" t="n"/>
      <c r="F321" s="96" t="n"/>
      <c r="G321" s="96" t="n"/>
      <c r="H321" s="92" t="n"/>
      <c r="I321" s="92" t="n"/>
      <c r="J321" s="92" t="n"/>
      <c r="K321" s="92" t="n"/>
      <c r="L321" s="92" t="n"/>
      <c r="M321" s="97" t="n"/>
      <c r="N321" s="92" t="n"/>
      <c r="O321" s="92" t="n"/>
      <c r="P321" s="92" t="n"/>
    </row>
    <row r="322" ht="32" customHeight="1">
      <c r="A322" s="91" t="n"/>
      <c r="B322" s="91" t="n"/>
      <c r="C322" s="91" t="n"/>
      <c r="D322" s="91" t="n"/>
      <c r="E322" s="91" t="n"/>
      <c r="F322" s="94" t="n"/>
      <c r="G322" s="94" t="n"/>
      <c r="H322" s="91" t="n"/>
      <c r="I322" s="91" t="n"/>
      <c r="J322" s="91" t="n"/>
      <c r="K322" s="91" t="n"/>
      <c r="L322" s="91" t="n"/>
      <c r="M322" s="95" t="n"/>
      <c r="N322" s="91" t="n"/>
      <c r="O322" s="91" t="n"/>
      <c r="P322" s="91" t="n"/>
    </row>
    <row r="323" ht="32" customHeight="1">
      <c r="A323" s="92" t="n"/>
      <c r="B323" s="92" t="n"/>
      <c r="C323" s="92" t="n"/>
      <c r="D323" s="92" t="n"/>
      <c r="E323" s="92" t="n"/>
      <c r="F323" s="96" t="n"/>
      <c r="G323" s="96" t="n"/>
      <c r="H323" s="92" t="n"/>
      <c r="I323" s="92" t="n"/>
      <c r="J323" s="92" t="n"/>
      <c r="K323" s="92" t="n"/>
      <c r="L323" s="92" t="n"/>
      <c r="M323" s="97" t="n"/>
      <c r="N323" s="92" t="n"/>
      <c r="O323" s="92" t="n"/>
      <c r="P323" s="92" t="n"/>
    </row>
    <row r="324" ht="32" customHeight="1">
      <c r="A324" s="91" t="n"/>
      <c r="B324" s="91" t="n"/>
      <c r="C324" s="91" t="n"/>
      <c r="D324" s="91" t="n"/>
      <c r="E324" s="91" t="n"/>
      <c r="F324" s="94" t="n"/>
      <c r="G324" s="94" t="n"/>
      <c r="H324" s="91" t="n"/>
      <c r="I324" s="91" t="n"/>
      <c r="J324" s="91" t="n"/>
      <c r="K324" s="91" t="n"/>
      <c r="L324" s="91" t="n"/>
      <c r="M324" s="95" t="n"/>
      <c r="N324" s="91" t="n"/>
      <c r="O324" s="91" t="n"/>
      <c r="P324" s="91" t="n"/>
    </row>
    <row r="325" ht="32" customHeight="1">
      <c r="A325" s="92" t="n"/>
      <c r="B325" s="92" t="n"/>
      <c r="C325" s="92" t="n"/>
      <c r="D325" s="92" t="n"/>
      <c r="E325" s="92" t="n"/>
      <c r="F325" s="96" t="n"/>
      <c r="G325" s="96" t="n"/>
      <c r="H325" s="92" t="n"/>
      <c r="I325" s="92" t="n"/>
      <c r="J325" s="92" t="n"/>
      <c r="K325" s="92" t="n"/>
      <c r="L325" s="92" t="n"/>
      <c r="M325" s="97" t="n"/>
      <c r="N325" s="92" t="n"/>
      <c r="O325" s="92" t="n"/>
      <c r="P325" s="92" t="n"/>
    </row>
    <row r="326" ht="32" customHeight="1">
      <c r="A326" s="91" t="n"/>
      <c r="B326" s="91" t="n"/>
      <c r="C326" s="91" t="n"/>
      <c r="D326" s="91" t="n"/>
      <c r="E326" s="91" t="n"/>
      <c r="F326" s="94" t="n"/>
      <c r="G326" s="94" t="n"/>
      <c r="H326" s="91" t="n"/>
      <c r="I326" s="91" t="n"/>
      <c r="J326" s="91" t="n"/>
      <c r="K326" s="91" t="n"/>
      <c r="L326" s="91" t="n"/>
      <c r="M326" s="95" t="n"/>
      <c r="N326" s="91" t="n"/>
      <c r="O326" s="91" t="n"/>
      <c r="P326" s="91" t="n"/>
    </row>
    <row r="327" ht="32" customHeight="1">
      <c r="A327" s="92" t="n"/>
      <c r="B327" s="92" t="n"/>
      <c r="C327" s="92" t="n"/>
      <c r="D327" s="92" t="n"/>
      <c r="E327" s="92" t="n"/>
      <c r="F327" s="96" t="n"/>
      <c r="G327" s="96" t="n"/>
      <c r="H327" s="92" t="n"/>
      <c r="I327" s="92" t="n"/>
      <c r="J327" s="92" t="n"/>
      <c r="K327" s="92" t="n"/>
      <c r="L327" s="92" t="n"/>
      <c r="M327" s="97" t="n"/>
      <c r="N327" s="92" t="n"/>
      <c r="O327" s="92" t="n"/>
      <c r="P327" s="92" t="n"/>
    </row>
    <row r="328" ht="32" customHeight="1">
      <c r="A328" s="91" t="n"/>
      <c r="B328" s="91" t="n"/>
      <c r="C328" s="91" t="n"/>
      <c r="D328" s="91" t="n"/>
      <c r="E328" s="91" t="n"/>
      <c r="F328" s="94" t="n"/>
      <c r="G328" s="94" t="n"/>
      <c r="H328" s="91" t="n"/>
      <c r="I328" s="91" t="n"/>
      <c r="J328" s="91" t="n"/>
      <c r="K328" s="91" t="n"/>
      <c r="L328" s="91" t="n"/>
      <c r="M328" s="95" t="n"/>
      <c r="N328" s="91" t="n"/>
      <c r="O328" s="91" t="n"/>
      <c r="P328" s="91" t="n"/>
    </row>
    <row r="329" ht="32" customHeight="1">
      <c r="A329" s="92" t="n"/>
      <c r="B329" s="92" t="n"/>
      <c r="C329" s="92" t="n"/>
      <c r="D329" s="92" t="n"/>
      <c r="E329" s="92" t="n"/>
      <c r="F329" s="96" t="n"/>
      <c r="G329" s="96" t="n"/>
      <c r="H329" s="92" t="n"/>
      <c r="I329" s="92" t="n"/>
      <c r="J329" s="92" t="n"/>
      <c r="K329" s="92" t="n"/>
      <c r="L329" s="92" t="n"/>
      <c r="M329" s="97" t="n"/>
      <c r="N329" s="92" t="n"/>
      <c r="O329" s="92" t="n"/>
      <c r="P329" s="92" t="n"/>
    </row>
    <row r="330" ht="32" customHeight="1">
      <c r="A330" s="91" t="n"/>
      <c r="B330" s="91" t="n"/>
      <c r="C330" s="91" t="n"/>
      <c r="D330" s="91" t="n"/>
      <c r="E330" s="91" t="n"/>
      <c r="F330" s="94" t="n"/>
      <c r="G330" s="94" t="n"/>
      <c r="H330" s="91" t="n"/>
      <c r="I330" s="91" t="n"/>
      <c r="J330" s="91" t="n"/>
      <c r="K330" s="91" t="n"/>
      <c r="L330" s="91" t="n"/>
      <c r="M330" s="95" t="n"/>
      <c r="N330" s="91" t="n"/>
      <c r="O330" s="91" t="n"/>
      <c r="P330" s="91" t="n"/>
    </row>
    <row r="331" ht="32" customHeight="1">
      <c r="A331" s="92" t="n"/>
      <c r="B331" s="92" t="n"/>
      <c r="C331" s="92" t="n"/>
      <c r="D331" s="92" t="n"/>
      <c r="E331" s="92" t="n"/>
      <c r="F331" s="96" t="n"/>
      <c r="G331" s="96" t="n"/>
      <c r="H331" s="92" t="n"/>
      <c r="I331" s="92" t="n"/>
      <c r="J331" s="92" t="n"/>
      <c r="K331" s="92" t="n"/>
      <c r="L331" s="92" t="n"/>
      <c r="M331" s="97" t="n"/>
      <c r="N331" s="92" t="n"/>
      <c r="O331" s="92" t="n"/>
      <c r="P331" s="92" t="n"/>
    </row>
    <row r="332" ht="32" customHeight="1">
      <c r="A332" s="91" t="n"/>
      <c r="B332" s="91" t="n"/>
      <c r="C332" s="91" t="n"/>
      <c r="D332" s="91" t="n"/>
      <c r="E332" s="91" t="n"/>
      <c r="F332" s="94" t="n"/>
      <c r="G332" s="94" t="n"/>
      <c r="H332" s="91" t="n"/>
      <c r="I332" s="91" t="n"/>
      <c r="J332" s="91" t="n"/>
      <c r="K332" s="91" t="n"/>
      <c r="L332" s="91" t="n"/>
      <c r="M332" s="95" t="n"/>
      <c r="N332" s="91" t="n"/>
      <c r="O332" s="91" t="n"/>
      <c r="P332" s="91" t="n"/>
    </row>
    <row r="333" ht="32" customHeight="1">
      <c r="A333" s="92" t="n"/>
      <c r="B333" s="92" t="n"/>
      <c r="C333" s="92" t="n"/>
      <c r="D333" s="92" t="n"/>
      <c r="E333" s="92" t="n"/>
      <c r="F333" s="96" t="n"/>
      <c r="G333" s="96" t="n"/>
      <c r="H333" s="92" t="n"/>
      <c r="I333" s="92" t="n"/>
      <c r="J333" s="92" t="n"/>
      <c r="K333" s="92" t="n"/>
      <c r="L333" s="92" t="n"/>
      <c r="M333" s="97" t="n"/>
      <c r="N333" s="92" t="n"/>
      <c r="O333" s="92" t="n"/>
      <c r="P333" s="92" t="n"/>
    </row>
    <row r="334" ht="32" customHeight="1">
      <c r="A334" s="91" t="n"/>
      <c r="B334" s="91" t="n"/>
      <c r="C334" s="91" t="n"/>
      <c r="D334" s="91" t="n"/>
      <c r="E334" s="91" t="n"/>
      <c r="F334" s="94" t="n"/>
      <c r="G334" s="94" t="n"/>
      <c r="H334" s="91" t="n"/>
      <c r="I334" s="91" t="n"/>
      <c r="J334" s="91" t="n"/>
      <c r="K334" s="91" t="n"/>
      <c r="L334" s="91" t="n"/>
      <c r="M334" s="95" t="n"/>
      <c r="N334" s="91" t="n"/>
      <c r="O334" s="91" t="n"/>
      <c r="P334" s="91" t="n"/>
    </row>
    <row r="335" ht="32" customHeight="1">
      <c r="A335" s="92" t="n"/>
      <c r="B335" s="92" t="n"/>
      <c r="C335" s="92" t="n"/>
      <c r="D335" s="92" t="n"/>
      <c r="E335" s="92" t="n"/>
      <c r="F335" s="96" t="n"/>
      <c r="G335" s="96" t="n"/>
      <c r="H335" s="92" t="n"/>
      <c r="I335" s="92" t="n"/>
      <c r="J335" s="92" t="n"/>
      <c r="K335" s="92" t="n"/>
      <c r="L335" s="92" t="n"/>
      <c r="M335" s="97" t="n"/>
      <c r="N335" s="92" t="n"/>
      <c r="O335" s="92" t="n"/>
      <c r="P335" s="92" t="n"/>
    </row>
    <row r="336" ht="32" customHeight="1">
      <c r="A336" s="91" t="n"/>
      <c r="B336" s="91" t="n"/>
      <c r="C336" s="91" t="n"/>
      <c r="D336" s="91" t="n"/>
      <c r="E336" s="91" t="n"/>
      <c r="F336" s="94" t="n"/>
      <c r="G336" s="94" t="n"/>
      <c r="H336" s="91" t="n"/>
      <c r="I336" s="91" t="n"/>
      <c r="J336" s="91" t="n"/>
      <c r="K336" s="91" t="n"/>
      <c r="L336" s="91" t="n"/>
      <c r="M336" s="95" t="n"/>
      <c r="N336" s="91" t="n"/>
      <c r="O336" s="91" t="n"/>
      <c r="P336" s="91" t="n"/>
    </row>
    <row r="337" ht="32" customHeight="1">
      <c r="A337" s="92" t="n"/>
      <c r="B337" s="92" t="n"/>
      <c r="C337" s="92" t="n"/>
      <c r="D337" s="92" t="n"/>
      <c r="E337" s="92" t="n"/>
      <c r="F337" s="96" t="n"/>
      <c r="G337" s="96" t="n"/>
      <c r="H337" s="92" t="n"/>
      <c r="I337" s="92" t="n"/>
      <c r="J337" s="92" t="n"/>
      <c r="K337" s="92" t="n"/>
      <c r="L337" s="92" t="n"/>
      <c r="M337" s="97" t="n"/>
      <c r="N337" s="92" t="n"/>
      <c r="O337" s="92" t="n"/>
      <c r="P337" s="92" t="n"/>
    </row>
    <row r="338" ht="32" customHeight="1">
      <c r="A338" s="91" t="n"/>
      <c r="B338" s="91" t="n"/>
      <c r="C338" s="91" t="n"/>
      <c r="D338" s="91" t="n"/>
      <c r="E338" s="91" t="n"/>
      <c r="F338" s="94" t="n"/>
      <c r="G338" s="94" t="n"/>
      <c r="H338" s="91" t="n"/>
      <c r="I338" s="91" t="n"/>
      <c r="J338" s="91" t="n"/>
      <c r="K338" s="91" t="n"/>
      <c r="L338" s="91" t="n"/>
      <c r="M338" s="95" t="n"/>
      <c r="N338" s="91" t="n"/>
      <c r="O338" s="91" t="n"/>
      <c r="P338" s="91" t="n"/>
    </row>
    <row r="339" ht="32" customHeight="1">
      <c r="A339" s="92" t="n"/>
      <c r="B339" s="92" t="n"/>
      <c r="C339" s="92" t="n"/>
      <c r="D339" s="92" t="n"/>
      <c r="E339" s="92" t="n"/>
      <c r="F339" s="96" t="n"/>
      <c r="G339" s="96" t="n"/>
      <c r="H339" s="92" t="n"/>
      <c r="I339" s="92" t="n"/>
      <c r="J339" s="92" t="n"/>
      <c r="K339" s="92" t="n"/>
      <c r="L339" s="92" t="n"/>
      <c r="M339" s="97" t="n"/>
      <c r="N339" s="92" t="n"/>
      <c r="O339" s="92" t="n"/>
      <c r="P339" s="92" t="n"/>
    </row>
    <row r="340" ht="32" customHeight="1">
      <c r="A340" s="91" t="n"/>
      <c r="B340" s="91" t="n"/>
      <c r="C340" s="91" t="n"/>
      <c r="D340" s="91" t="n"/>
      <c r="E340" s="91" t="n"/>
      <c r="F340" s="94" t="n"/>
      <c r="G340" s="94" t="n"/>
      <c r="H340" s="91" t="n"/>
      <c r="I340" s="91" t="n"/>
      <c r="J340" s="91" t="n"/>
      <c r="K340" s="91" t="n"/>
      <c r="L340" s="91" t="n"/>
      <c r="M340" s="95" t="n"/>
      <c r="N340" s="91" t="n"/>
      <c r="O340" s="91" t="n"/>
      <c r="P340" s="91" t="n"/>
    </row>
    <row r="341" ht="32" customHeight="1">
      <c r="A341" s="92" t="n"/>
      <c r="B341" s="92" t="n"/>
      <c r="C341" s="92" t="n"/>
      <c r="D341" s="92" t="n"/>
      <c r="E341" s="92" t="n"/>
      <c r="F341" s="96" t="n"/>
      <c r="G341" s="96" t="n"/>
      <c r="H341" s="92" t="n"/>
      <c r="I341" s="92" t="n"/>
      <c r="J341" s="92" t="n"/>
      <c r="K341" s="92" t="n"/>
      <c r="L341" s="92" t="n"/>
      <c r="M341" s="97" t="n"/>
      <c r="N341" s="92" t="n"/>
      <c r="O341" s="92" t="n"/>
      <c r="P341" s="92" t="n"/>
    </row>
    <row r="342" ht="32" customHeight="1">
      <c r="A342" s="91" t="n"/>
      <c r="B342" s="91" t="n"/>
      <c r="C342" s="91" t="n"/>
      <c r="D342" s="91" t="n"/>
      <c r="E342" s="91" t="n"/>
      <c r="F342" s="94" t="n"/>
      <c r="G342" s="94" t="n"/>
      <c r="H342" s="91" t="n"/>
      <c r="I342" s="91" t="n"/>
      <c r="J342" s="91" t="n"/>
      <c r="K342" s="91" t="n"/>
      <c r="L342" s="91" t="n"/>
      <c r="M342" s="95" t="n"/>
      <c r="N342" s="91" t="n"/>
      <c r="O342" s="91" t="n"/>
      <c r="P342" s="91" t="n"/>
    </row>
    <row r="343" ht="32" customHeight="1">
      <c r="A343" s="92" t="n"/>
      <c r="B343" s="92" t="n"/>
      <c r="C343" s="92" t="n"/>
      <c r="D343" s="92" t="n"/>
      <c r="E343" s="92" t="n"/>
      <c r="F343" s="96" t="n"/>
      <c r="G343" s="96" t="n"/>
      <c r="H343" s="92" t="n"/>
      <c r="I343" s="92" t="n"/>
      <c r="J343" s="92" t="n"/>
      <c r="K343" s="92" t="n"/>
      <c r="L343" s="92" t="n"/>
      <c r="M343" s="97" t="n"/>
      <c r="N343" s="92" t="n"/>
      <c r="O343" s="92" t="n"/>
      <c r="P343" s="92" t="n"/>
    </row>
    <row r="344" ht="32" customHeight="1">
      <c r="A344" s="91" t="n"/>
      <c r="B344" s="91" t="n"/>
      <c r="C344" s="91" t="n"/>
      <c r="D344" s="91" t="n"/>
      <c r="E344" s="91" t="n"/>
      <c r="F344" s="94" t="n"/>
      <c r="G344" s="94" t="n"/>
      <c r="H344" s="91" t="n"/>
      <c r="I344" s="91" t="n"/>
      <c r="J344" s="91" t="n"/>
      <c r="K344" s="91" t="n"/>
      <c r="L344" s="91" t="n"/>
      <c r="M344" s="95" t="n"/>
      <c r="N344" s="91" t="n"/>
      <c r="O344" s="91" t="n"/>
      <c r="P344" s="91" t="n"/>
    </row>
    <row r="345" ht="32" customHeight="1">
      <c r="A345" s="92" t="n"/>
      <c r="B345" s="92" t="n"/>
      <c r="C345" s="92" t="n"/>
      <c r="D345" s="92" t="n"/>
      <c r="E345" s="92" t="n"/>
      <c r="F345" s="96" t="n"/>
      <c r="G345" s="96" t="n"/>
      <c r="H345" s="92" t="n"/>
      <c r="I345" s="92" t="n"/>
      <c r="J345" s="92" t="n"/>
      <c r="K345" s="92" t="n"/>
      <c r="L345" s="92" t="n"/>
      <c r="M345" s="97" t="n"/>
      <c r="N345" s="92" t="n"/>
      <c r="O345" s="92" t="n"/>
      <c r="P345" s="92" t="n"/>
    </row>
    <row r="346" ht="32" customHeight="1">
      <c r="A346" s="91" t="n"/>
      <c r="B346" s="91" t="n"/>
      <c r="C346" s="91" t="n"/>
      <c r="D346" s="91" t="n"/>
      <c r="E346" s="91" t="n"/>
      <c r="F346" s="94" t="n"/>
      <c r="G346" s="94" t="n"/>
      <c r="H346" s="91" t="n"/>
      <c r="I346" s="91" t="n"/>
      <c r="J346" s="91" t="n"/>
      <c r="K346" s="91" t="n"/>
      <c r="L346" s="91" t="n"/>
      <c r="M346" s="95" t="n"/>
      <c r="N346" s="91" t="n"/>
      <c r="O346" s="91" t="n"/>
      <c r="P346" s="91" t="n"/>
    </row>
    <row r="347" ht="32" customHeight="1">
      <c r="A347" s="92" t="n"/>
      <c r="B347" s="92" t="n"/>
      <c r="C347" s="92" t="n"/>
      <c r="D347" s="92" t="n"/>
      <c r="E347" s="92" t="n"/>
      <c r="F347" s="96" t="n"/>
      <c r="G347" s="96" t="n"/>
      <c r="H347" s="92" t="n"/>
      <c r="I347" s="92" t="n"/>
      <c r="J347" s="92" t="n"/>
      <c r="K347" s="92" t="n"/>
      <c r="L347" s="92" t="n"/>
      <c r="M347" s="97" t="n"/>
      <c r="N347" s="92" t="n"/>
      <c r="O347" s="92" t="n"/>
      <c r="P347" s="92" t="n"/>
    </row>
    <row r="348" ht="32" customHeight="1">
      <c r="A348" s="91" t="n"/>
      <c r="B348" s="91" t="n"/>
      <c r="C348" s="91" t="n"/>
      <c r="D348" s="91" t="n"/>
      <c r="E348" s="91" t="n"/>
      <c r="F348" s="94" t="n"/>
      <c r="G348" s="94" t="n"/>
      <c r="H348" s="91" t="n"/>
      <c r="I348" s="91" t="n"/>
      <c r="J348" s="91" t="n"/>
      <c r="K348" s="91" t="n"/>
      <c r="L348" s="91" t="n"/>
      <c r="M348" s="95" t="n"/>
      <c r="N348" s="91" t="n"/>
      <c r="O348" s="91" t="n"/>
      <c r="P348" s="91" t="n"/>
    </row>
    <row r="349" ht="32" customHeight="1">
      <c r="A349" s="92" t="n"/>
      <c r="B349" s="92" t="n"/>
      <c r="C349" s="92" t="n"/>
      <c r="D349" s="92" t="n"/>
      <c r="E349" s="92" t="n"/>
      <c r="F349" s="96" t="n"/>
      <c r="G349" s="96" t="n"/>
      <c r="H349" s="92" t="n"/>
      <c r="I349" s="92" t="n"/>
      <c r="J349" s="92" t="n"/>
      <c r="K349" s="92" t="n"/>
      <c r="L349" s="92" t="n"/>
      <c r="M349" s="97" t="n"/>
      <c r="N349" s="92" t="n"/>
      <c r="O349" s="92" t="n"/>
      <c r="P349" s="92" t="n"/>
    </row>
    <row r="350" ht="32" customHeight="1">
      <c r="A350" s="91" t="n"/>
      <c r="B350" s="91" t="n"/>
      <c r="C350" s="91" t="n"/>
      <c r="D350" s="91" t="n"/>
      <c r="E350" s="91" t="n"/>
      <c r="F350" s="94" t="n"/>
      <c r="G350" s="94" t="n"/>
      <c r="H350" s="91" t="n"/>
      <c r="I350" s="91" t="n"/>
      <c r="J350" s="91" t="n"/>
      <c r="K350" s="91" t="n"/>
      <c r="L350" s="91" t="n"/>
      <c r="M350" s="95" t="n"/>
      <c r="N350" s="91" t="n"/>
      <c r="O350" s="91" t="n"/>
      <c r="P350" s="91" t="n"/>
    </row>
    <row r="351" ht="32" customHeight="1">
      <c r="A351" s="92" t="n"/>
      <c r="B351" s="92" t="n"/>
      <c r="C351" s="92" t="n"/>
      <c r="D351" s="92" t="n"/>
      <c r="E351" s="92" t="n"/>
      <c r="F351" s="96" t="n"/>
      <c r="G351" s="96" t="n"/>
      <c r="H351" s="92" t="n"/>
      <c r="I351" s="92" t="n"/>
      <c r="J351" s="92" t="n"/>
      <c r="K351" s="92" t="n"/>
      <c r="L351" s="92" t="n"/>
      <c r="M351" s="97" t="n"/>
      <c r="N351" s="92" t="n"/>
      <c r="O351" s="92" t="n"/>
      <c r="P351" s="92" t="n"/>
    </row>
    <row r="352" ht="32" customHeight="1">
      <c r="A352" s="91" t="n"/>
      <c r="B352" s="91" t="n"/>
      <c r="C352" s="91" t="n"/>
      <c r="D352" s="91" t="n"/>
      <c r="E352" s="91" t="n"/>
      <c r="F352" s="94" t="n"/>
      <c r="G352" s="94" t="n"/>
      <c r="H352" s="91" t="n"/>
      <c r="I352" s="91" t="n"/>
      <c r="J352" s="91" t="n"/>
      <c r="K352" s="91" t="n"/>
      <c r="L352" s="91" t="n"/>
      <c r="M352" s="95" t="n"/>
      <c r="N352" s="91" t="n"/>
      <c r="O352" s="91" t="n"/>
      <c r="P352" s="91" t="n"/>
    </row>
    <row r="353" ht="32" customHeight="1">
      <c r="A353" s="92" t="n"/>
      <c r="B353" s="92" t="n"/>
      <c r="C353" s="92" t="n"/>
      <c r="D353" s="92" t="n"/>
      <c r="E353" s="92" t="n"/>
      <c r="F353" s="96" t="n"/>
      <c r="G353" s="96" t="n"/>
      <c r="H353" s="92" t="n"/>
      <c r="I353" s="92" t="n"/>
      <c r="J353" s="92" t="n"/>
      <c r="K353" s="92" t="n"/>
      <c r="L353" s="92" t="n"/>
      <c r="M353" s="97" t="n"/>
      <c r="N353" s="92" t="n"/>
      <c r="O353" s="92" t="n"/>
      <c r="P353" s="92" t="n"/>
    </row>
    <row r="354" ht="32" customHeight="1">
      <c r="A354" s="91" t="n"/>
      <c r="B354" s="91" t="n"/>
      <c r="C354" s="91" t="n"/>
      <c r="D354" s="91" t="n"/>
      <c r="E354" s="91" t="n"/>
      <c r="F354" s="94" t="n"/>
      <c r="G354" s="94" t="n"/>
      <c r="H354" s="91" t="n"/>
      <c r="I354" s="91" t="n"/>
      <c r="J354" s="91" t="n"/>
      <c r="K354" s="91" t="n"/>
      <c r="L354" s="91" t="n"/>
      <c r="M354" s="95" t="n"/>
      <c r="N354" s="91" t="n"/>
      <c r="O354" s="91" t="n"/>
      <c r="P354" s="91" t="n"/>
    </row>
    <row r="355" ht="32" customHeight="1">
      <c r="A355" s="92" t="n"/>
      <c r="B355" s="92" t="n"/>
      <c r="C355" s="92" t="n"/>
      <c r="D355" s="92" t="n"/>
      <c r="E355" s="92" t="n"/>
      <c r="F355" s="96" t="n"/>
      <c r="G355" s="96" t="n"/>
      <c r="H355" s="92" t="n"/>
      <c r="I355" s="92" t="n"/>
      <c r="J355" s="92" t="n"/>
      <c r="K355" s="92" t="n"/>
      <c r="L355" s="92" t="n"/>
      <c r="M355" s="97" t="n"/>
      <c r="N355" s="92" t="n"/>
      <c r="O355" s="92" t="n"/>
      <c r="P355" s="92" t="n"/>
    </row>
    <row r="356" ht="32" customHeight="1">
      <c r="A356" s="91" t="n"/>
      <c r="B356" s="91" t="n"/>
      <c r="C356" s="91" t="n"/>
      <c r="D356" s="91" t="n"/>
      <c r="E356" s="91" t="n"/>
      <c r="F356" s="94" t="n"/>
      <c r="G356" s="94" t="n"/>
      <c r="H356" s="91" t="n"/>
      <c r="I356" s="91" t="n"/>
      <c r="J356" s="91" t="n"/>
      <c r="K356" s="91" t="n"/>
      <c r="L356" s="91" t="n"/>
      <c r="M356" s="95" t="n"/>
      <c r="N356" s="91" t="n"/>
      <c r="O356" s="91" t="n"/>
      <c r="P356" s="91" t="n"/>
    </row>
    <row r="357" ht="32" customHeight="1">
      <c r="A357" s="92" t="n"/>
      <c r="B357" s="92" t="n"/>
      <c r="C357" s="92" t="n"/>
      <c r="D357" s="92" t="n"/>
      <c r="E357" s="92" t="n"/>
      <c r="F357" s="96" t="n"/>
      <c r="G357" s="96" t="n"/>
      <c r="H357" s="92" t="n"/>
      <c r="I357" s="92" t="n"/>
      <c r="J357" s="92" t="n"/>
      <c r="K357" s="92" t="n"/>
      <c r="L357" s="92" t="n"/>
      <c r="M357" s="97" t="n"/>
      <c r="N357" s="92" t="n"/>
      <c r="O357" s="92" t="n"/>
      <c r="P357" s="92" t="n"/>
    </row>
    <row r="358" ht="32" customHeight="1">
      <c r="A358" s="91" t="n"/>
      <c r="B358" s="91" t="n"/>
      <c r="C358" s="91" t="n"/>
      <c r="D358" s="91" t="n"/>
      <c r="E358" s="91" t="n"/>
      <c r="F358" s="94" t="n"/>
      <c r="G358" s="94" t="n"/>
      <c r="H358" s="91" t="n"/>
      <c r="I358" s="91" t="n"/>
      <c r="J358" s="91" t="n"/>
      <c r="K358" s="91" t="n"/>
      <c r="L358" s="91" t="n"/>
      <c r="M358" s="95" t="n"/>
      <c r="N358" s="91" t="n"/>
      <c r="O358" s="91" t="n"/>
      <c r="P358" s="91" t="n"/>
    </row>
    <row r="359" ht="32" customHeight="1">
      <c r="A359" s="92" t="n"/>
      <c r="B359" s="92" t="n"/>
      <c r="C359" s="92" t="n"/>
      <c r="D359" s="92" t="n"/>
      <c r="E359" s="92" t="n"/>
      <c r="F359" s="96" t="n"/>
      <c r="G359" s="96" t="n"/>
      <c r="H359" s="92" t="n"/>
      <c r="I359" s="92" t="n"/>
      <c r="J359" s="92" t="n"/>
      <c r="K359" s="92" t="n"/>
      <c r="L359" s="92" t="n"/>
      <c r="M359" s="97" t="n"/>
      <c r="N359" s="92" t="n"/>
      <c r="O359" s="92" t="n"/>
      <c r="P359" s="92" t="n"/>
    </row>
    <row r="360" ht="32" customHeight="1">
      <c r="A360" s="91" t="n"/>
      <c r="B360" s="91" t="n"/>
      <c r="C360" s="91" t="n"/>
      <c r="D360" s="91" t="n"/>
      <c r="E360" s="91" t="n"/>
      <c r="F360" s="94" t="n"/>
      <c r="G360" s="94" t="n"/>
      <c r="H360" s="91" t="n"/>
      <c r="I360" s="91" t="n"/>
      <c r="J360" s="91" t="n"/>
      <c r="K360" s="91" t="n"/>
      <c r="L360" s="91" t="n"/>
      <c r="M360" s="95" t="n"/>
      <c r="N360" s="91" t="n"/>
      <c r="O360" s="91" t="n"/>
      <c r="P360" s="91" t="n"/>
    </row>
    <row r="361" ht="32" customHeight="1">
      <c r="A361" s="92" t="n"/>
      <c r="B361" s="92" t="n"/>
      <c r="C361" s="92" t="n"/>
      <c r="D361" s="92" t="n"/>
      <c r="E361" s="92" t="n"/>
      <c r="F361" s="96" t="n"/>
      <c r="G361" s="96" t="n"/>
      <c r="H361" s="92" t="n"/>
      <c r="I361" s="92" t="n"/>
      <c r="J361" s="92" t="n"/>
      <c r="K361" s="92" t="n"/>
      <c r="L361" s="92" t="n"/>
      <c r="M361" s="97" t="n"/>
      <c r="N361" s="92" t="n"/>
      <c r="O361" s="92" t="n"/>
      <c r="P361" s="92" t="n"/>
    </row>
    <row r="362" ht="32" customHeight="1">
      <c r="A362" s="91" t="n"/>
      <c r="B362" s="91" t="n"/>
      <c r="C362" s="91" t="n"/>
      <c r="D362" s="91" t="n"/>
      <c r="E362" s="91" t="n"/>
      <c r="F362" s="94" t="n"/>
      <c r="G362" s="94" t="n"/>
      <c r="H362" s="91" t="n"/>
      <c r="I362" s="91" t="n"/>
      <c r="J362" s="91" t="n"/>
      <c r="K362" s="91" t="n"/>
      <c r="L362" s="91" t="n"/>
      <c r="M362" s="95" t="n"/>
      <c r="N362" s="91" t="n"/>
      <c r="O362" s="91" t="n"/>
      <c r="P362" s="91" t="n"/>
    </row>
    <row r="363" ht="32" customHeight="1">
      <c r="A363" s="92" t="n"/>
      <c r="B363" s="92" t="n"/>
      <c r="C363" s="92" t="n"/>
      <c r="D363" s="92" t="n"/>
      <c r="E363" s="92" t="n"/>
      <c r="F363" s="96" t="n"/>
      <c r="G363" s="96" t="n"/>
      <c r="H363" s="92" t="n"/>
      <c r="I363" s="92" t="n"/>
      <c r="J363" s="92" t="n"/>
      <c r="K363" s="92" t="n"/>
      <c r="L363" s="92" t="n"/>
      <c r="M363" s="97" t="n"/>
      <c r="N363" s="92" t="n"/>
      <c r="O363" s="92" t="n"/>
      <c r="P363" s="92" t="n"/>
    </row>
    <row r="364" ht="32" customHeight="1">
      <c r="A364" s="91" t="n"/>
      <c r="B364" s="91" t="n"/>
      <c r="C364" s="91" t="n"/>
      <c r="D364" s="91" t="n"/>
      <c r="E364" s="91" t="n"/>
      <c r="F364" s="94" t="n"/>
      <c r="G364" s="94" t="n"/>
      <c r="H364" s="91" t="n"/>
      <c r="I364" s="91" t="n"/>
      <c r="J364" s="91" t="n"/>
      <c r="K364" s="91" t="n"/>
      <c r="L364" s="91" t="n"/>
      <c r="M364" s="95" t="n"/>
      <c r="N364" s="91" t="n"/>
      <c r="O364" s="91" t="n"/>
      <c r="P364" s="91" t="n"/>
    </row>
    <row r="365" ht="32" customHeight="1">
      <c r="A365" s="92" t="n"/>
      <c r="B365" s="92" t="n"/>
      <c r="C365" s="92" t="n"/>
      <c r="D365" s="92" t="n"/>
      <c r="E365" s="92" t="n"/>
      <c r="F365" s="96" t="n"/>
      <c r="G365" s="96" t="n"/>
      <c r="H365" s="92" t="n"/>
      <c r="I365" s="92" t="n"/>
      <c r="J365" s="92" t="n"/>
      <c r="K365" s="92" t="n"/>
      <c r="L365" s="92" t="n"/>
      <c r="M365" s="97" t="n"/>
      <c r="N365" s="92" t="n"/>
      <c r="O365" s="92" t="n"/>
      <c r="P365" s="92" t="n"/>
    </row>
    <row r="366" ht="32" customHeight="1">
      <c r="A366" s="91" t="n"/>
      <c r="B366" s="91" t="n"/>
      <c r="C366" s="91" t="n"/>
      <c r="D366" s="91" t="n"/>
      <c r="E366" s="91" t="n"/>
      <c r="F366" s="94" t="n"/>
      <c r="G366" s="94" t="n"/>
      <c r="H366" s="91" t="n"/>
      <c r="I366" s="91" t="n"/>
      <c r="J366" s="91" t="n"/>
      <c r="K366" s="91" t="n"/>
      <c r="L366" s="91" t="n"/>
      <c r="M366" s="95" t="n"/>
      <c r="N366" s="91" t="n"/>
      <c r="O366" s="91" t="n"/>
      <c r="P366" s="91" t="n"/>
    </row>
    <row r="367" ht="32" customHeight="1">
      <c r="A367" s="92" t="n"/>
      <c r="B367" s="92" t="n"/>
      <c r="C367" s="92" t="n"/>
      <c r="D367" s="92" t="n"/>
      <c r="E367" s="92" t="n"/>
      <c r="F367" s="96" t="n"/>
      <c r="G367" s="96" t="n"/>
      <c r="H367" s="92" t="n"/>
      <c r="I367" s="92" t="n"/>
      <c r="J367" s="92" t="n"/>
      <c r="K367" s="92" t="n"/>
      <c r="L367" s="92" t="n"/>
      <c r="M367" s="97" t="n"/>
      <c r="N367" s="92" t="n"/>
      <c r="O367" s="92" t="n"/>
      <c r="P367" s="92" t="n"/>
    </row>
    <row r="368" ht="32" customHeight="1">
      <c r="A368" s="91" t="n"/>
      <c r="B368" s="91" t="n"/>
      <c r="C368" s="91" t="n"/>
      <c r="D368" s="91" t="n"/>
      <c r="E368" s="91" t="n"/>
      <c r="F368" s="94" t="n"/>
      <c r="G368" s="94" t="n"/>
      <c r="H368" s="91" t="n"/>
      <c r="I368" s="91" t="n"/>
      <c r="J368" s="91" t="n"/>
      <c r="K368" s="91" t="n"/>
      <c r="L368" s="91" t="n"/>
      <c r="M368" s="95" t="n"/>
      <c r="N368" s="91" t="n"/>
      <c r="O368" s="91" t="n"/>
      <c r="P368" s="91" t="n"/>
    </row>
    <row r="369" ht="32" customHeight="1">
      <c r="A369" s="92" t="n"/>
      <c r="B369" s="92" t="n"/>
      <c r="C369" s="92" t="n"/>
      <c r="D369" s="92" t="n"/>
      <c r="E369" s="92" t="n"/>
      <c r="F369" s="96" t="n"/>
      <c r="G369" s="96" t="n"/>
      <c r="H369" s="92" t="n"/>
      <c r="I369" s="92" t="n"/>
      <c r="J369" s="92" t="n"/>
      <c r="K369" s="92" t="n"/>
      <c r="L369" s="92" t="n"/>
      <c r="M369" s="97" t="n"/>
      <c r="N369" s="92" t="n"/>
      <c r="O369" s="92" t="n"/>
      <c r="P369" s="92" t="n"/>
    </row>
    <row r="370" ht="32" customHeight="1">
      <c r="A370" s="91" t="n"/>
      <c r="B370" s="91" t="n"/>
      <c r="C370" s="91" t="n"/>
      <c r="D370" s="91" t="n"/>
      <c r="E370" s="91" t="n"/>
      <c r="F370" s="94" t="n"/>
      <c r="G370" s="94" t="n"/>
      <c r="H370" s="91" t="n"/>
      <c r="I370" s="91" t="n"/>
      <c r="J370" s="91" t="n"/>
      <c r="K370" s="91" t="n"/>
      <c r="L370" s="91" t="n"/>
      <c r="M370" s="95" t="n"/>
      <c r="N370" s="91" t="n"/>
      <c r="O370" s="91" t="n"/>
      <c r="P370" s="91" t="n"/>
    </row>
    <row r="371" ht="32" customHeight="1">
      <c r="A371" s="92" t="n"/>
      <c r="B371" s="92" t="n"/>
      <c r="C371" s="92" t="n"/>
      <c r="D371" s="92" t="n"/>
      <c r="E371" s="92" t="n"/>
      <c r="F371" s="96" t="n"/>
      <c r="G371" s="96" t="n"/>
      <c r="H371" s="92" t="n"/>
      <c r="I371" s="92" t="n"/>
      <c r="J371" s="92" t="n"/>
      <c r="K371" s="92" t="n"/>
      <c r="L371" s="92" t="n"/>
      <c r="M371" s="97" t="n"/>
      <c r="N371" s="92" t="n"/>
      <c r="O371" s="92" t="n"/>
      <c r="P371" s="92" t="n"/>
    </row>
    <row r="372" ht="32" customHeight="1">
      <c r="A372" s="91" t="n"/>
      <c r="B372" s="91" t="n"/>
      <c r="C372" s="91" t="n"/>
      <c r="D372" s="91" t="n"/>
      <c r="E372" s="91" t="n"/>
      <c r="F372" s="94" t="n"/>
      <c r="G372" s="94" t="n"/>
      <c r="H372" s="91" t="n"/>
      <c r="I372" s="91" t="n"/>
      <c r="J372" s="91" t="n"/>
      <c r="K372" s="91" t="n"/>
      <c r="L372" s="91" t="n"/>
      <c r="M372" s="95" t="n"/>
      <c r="N372" s="91" t="n"/>
      <c r="O372" s="91" t="n"/>
      <c r="P372" s="91" t="n"/>
    </row>
    <row r="373" ht="32" customHeight="1">
      <c r="A373" s="92" t="n"/>
      <c r="B373" s="92" t="n"/>
      <c r="C373" s="92" t="n"/>
      <c r="D373" s="92" t="n"/>
      <c r="E373" s="92" t="n"/>
      <c r="F373" s="96" t="n"/>
      <c r="G373" s="96" t="n"/>
      <c r="H373" s="92" t="n"/>
      <c r="I373" s="92" t="n"/>
      <c r="J373" s="92" t="n"/>
      <c r="K373" s="92" t="n"/>
      <c r="L373" s="92" t="n"/>
      <c r="M373" s="97" t="n"/>
      <c r="N373" s="92" t="n"/>
      <c r="O373" s="92" t="n"/>
      <c r="P373" s="92" t="n"/>
    </row>
    <row r="374" ht="32" customHeight="1">
      <c r="A374" s="91" t="n"/>
      <c r="B374" s="91" t="n"/>
      <c r="C374" s="91" t="n"/>
      <c r="D374" s="91" t="n"/>
      <c r="E374" s="91" t="n"/>
      <c r="F374" s="94" t="n"/>
      <c r="G374" s="94" t="n"/>
      <c r="H374" s="91" t="n"/>
      <c r="I374" s="91" t="n"/>
      <c r="J374" s="91" t="n"/>
      <c r="K374" s="91" t="n"/>
      <c r="L374" s="91" t="n"/>
      <c r="M374" s="95" t="n"/>
      <c r="N374" s="91" t="n"/>
      <c r="O374" s="91" t="n"/>
      <c r="P374" s="91" t="n"/>
    </row>
    <row r="375" ht="32" customHeight="1">
      <c r="A375" s="92" t="n"/>
      <c r="B375" s="92" t="n"/>
      <c r="C375" s="92" t="n"/>
      <c r="D375" s="92" t="n"/>
      <c r="E375" s="92" t="n"/>
      <c r="F375" s="96" t="n"/>
      <c r="G375" s="96" t="n"/>
      <c r="H375" s="92" t="n"/>
      <c r="I375" s="92" t="n"/>
      <c r="J375" s="92" t="n"/>
      <c r="K375" s="92" t="n"/>
      <c r="L375" s="92" t="n"/>
      <c r="M375" s="97" t="n"/>
      <c r="N375" s="92" t="n"/>
      <c r="O375" s="92" t="n"/>
      <c r="P375" s="92" t="n"/>
    </row>
    <row r="376" ht="32" customHeight="1">
      <c r="A376" s="91" t="n"/>
      <c r="B376" s="91" t="n"/>
      <c r="C376" s="91" t="n"/>
      <c r="D376" s="91" t="n"/>
      <c r="E376" s="91" t="n"/>
      <c r="F376" s="94" t="n"/>
      <c r="G376" s="94" t="n"/>
      <c r="H376" s="91" t="n"/>
      <c r="I376" s="91" t="n"/>
      <c r="J376" s="91" t="n"/>
      <c r="K376" s="91" t="n"/>
      <c r="L376" s="91" t="n"/>
      <c r="M376" s="95" t="n"/>
      <c r="N376" s="91" t="n"/>
      <c r="O376" s="91" t="n"/>
      <c r="P376" s="91" t="n"/>
    </row>
    <row r="377" ht="32" customHeight="1">
      <c r="A377" s="92" t="n"/>
      <c r="B377" s="92" t="n"/>
      <c r="C377" s="92" t="n"/>
      <c r="D377" s="92" t="n"/>
      <c r="E377" s="92" t="n"/>
      <c r="F377" s="96" t="n"/>
      <c r="G377" s="96" t="n"/>
      <c r="H377" s="92" t="n"/>
      <c r="I377" s="92" t="n"/>
      <c r="J377" s="92" t="n"/>
      <c r="K377" s="92" t="n"/>
      <c r="L377" s="92" t="n"/>
      <c r="M377" s="97" t="n"/>
      <c r="N377" s="92" t="n"/>
      <c r="O377" s="92" t="n"/>
      <c r="P377" s="92" t="n"/>
    </row>
    <row r="378" ht="32" customHeight="1">
      <c r="A378" s="91" t="n"/>
      <c r="B378" s="91" t="n"/>
      <c r="C378" s="91" t="n"/>
      <c r="D378" s="91" t="n"/>
      <c r="E378" s="91" t="n"/>
      <c r="F378" s="94" t="n"/>
      <c r="G378" s="94" t="n"/>
      <c r="H378" s="91" t="n"/>
      <c r="I378" s="91" t="n"/>
      <c r="J378" s="91" t="n"/>
      <c r="K378" s="91" t="n"/>
      <c r="L378" s="91" t="n"/>
      <c r="M378" s="95" t="n"/>
      <c r="N378" s="91" t="n"/>
      <c r="O378" s="91" t="n"/>
      <c r="P378" s="91" t="n"/>
    </row>
    <row r="379" ht="32" customHeight="1">
      <c r="A379" s="92" t="n"/>
      <c r="B379" s="92" t="n"/>
      <c r="C379" s="92" t="n"/>
      <c r="D379" s="92" t="n"/>
      <c r="E379" s="92" t="n"/>
      <c r="F379" s="96" t="n"/>
      <c r="G379" s="96" t="n"/>
      <c r="H379" s="92" t="n"/>
      <c r="I379" s="92" t="n"/>
      <c r="J379" s="92" t="n"/>
      <c r="K379" s="92" t="n"/>
      <c r="L379" s="92" t="n"/>
      <c r="M379" s="97" t="n"/>
      <c r="N379" s="92" t="n"/>
      <c r="O379" s="92" t="n"/>
      <c r="P379" s="92" t="n"/>
    </row>
    <row r="380" ht="32" customHeight="1">
      <c r="A380" s="91" t="n"/>
      <c r="B380" s="91" t="n"/>
      <c r="C380" s="91" t="n"/>
      <c r="D380" s="91" t="n"/>
      <c r="E380" s="91" t="n"/>
      <c r="F380" s="94" t="n"/>
      <c r="G380" s="94" t="n"/>
      <c r="H380" s="91" t="n"/>
      <c r="I380" s="91" t="n"/>
      <c r="J380" s="91" t="n"/>
      <c r="K380" s="91" t="n"/>
      <c r="L380" s="91" t="n"/>
      <c r="M380" s="95" t="n"/>
      <c r="N380" s="91" t="n"/>
      <c r="O380" s="91" t="n"/>
      <c r="P380" s="91" t="n"/>
    </row>
    <row r="381" ht="32" customHeight="1">
      <c r="A381" s="92" t="n"/>
      <c r="B381" s="92" t="n"/>
      <c r="C381" s="92" t="n"/>
      <c r="D381" s="92" t="n"/>
      <c r="E381" s="92" t="n"/>
      <c r="F381" s="96" t="n"/>
      <c r="G381" s="96" t="n"/>
      <c r="H381" s="92" t="n"/>
      <c r="I381" s="92" t="n"/>
      <c r="J381" s="92" t="n"/>
      <c r="K381" s="92" t="n"/>
      <c r="L381" s="92" t="n"/>
      <c r="M381" s="97" t="n"/>
      <c r="N381" s="92" t="n"/>
      <c r="O381" s="92" t="n"/>
      <c r="P381" s="92" t="n"/>
    </row>
    <row r="382" ht="32" customHeight="1">
      <c r="A382" s="91" t="n"/>
      <c r="B382" s="91" t="n"/>
      <c r="C382" s="91" t="n"/>
      <c r="D382" s="91" t="n"/>
      <c r="E382" s="91" t="n"/>
      <c r="F382" s="94" t="n"/>
      <c r="G382" s="94" t="n"/>
      <c r="H382" s="91" t="n"/>
      <c r="I382" s="91" t="n"/>
      <c r="J382" s="91" t="n"/>
      <c r="K382" s="91" t="n"/>
      <c r="L382" s="91" t="n"/>
      <c r="M382" s="95" t="n"/>
      <c r="N382" s="91" t="n"/>
      <c r="O382" s="91" t="n"/>
      <c r="P382" s="91" t="n"/>
    </row>
    <row r="383" ht="32" customHeight="1">
      <c r="A383" s="92" t="n"/>
      <c r="B383" s="92" t="n"/>
      <c r="C383" s="92" t="n"/>
      <c r="D383" s="92" t="n"/>
      <c r="E383" s="92" t="n"/>
      <c r="F383" s="96" t="n"/>
      <c r="G383" s="96" t="n"/>
      <c r="H383" s="92" t="n"/>
      <c r="I383" s="92" t="n"/>
      <c r="J383" s="92" t="n"/>
      <c r="K383" s="92" t="n"/>
      <c r="L383" s="92" t="n"/>
      <c r="M383" s="97" t="n"/>
      <c r="N383" s="92" t="n"/>
      <c r="O383" s="92" t="n"/>
      <c r="P383" s="92" t="n"/>
    </row>
    <row r="384" ht="32" customHeight="1">
      <c r="A384" s="91" t="n"/>
      <c r="B384" s="91" t="n"/>
      <c r="C384" s="91" t="n"/>
      <c r="D384" s="91" t="n"/>
      <c r="E384" s="91" t="n"/>
      <c r="F384" s="94" t="n"/>
      <c r="G384" s="94" t="n"/>
      <c r="H384" s="91" t="n"/>
      <c r="I384" s="91" t="n"/>
      <c r="J384" s="91" t="n"/>
      <c r="K384" s="91" t="n"/>
      <c r="L384" s="91" t="n"/>
      <c r="M384" s="95" t="n"/>
      <c r="N384" s="91" t="n"/>
      <c r="O384" s="91" t="n"/>
      <c r="P384" s="91" t="n"/>
    </row>
    <row r="385" ht="32" customHeight="1">
      <c r="A385" s="92" t="n"/>
      <c r="B385" s="92" t="n"/>
      <c r="C385" s="92" t="n"/>
      <c r="D385" s="92" t="n"/>
      <c r="E385" s="92" t="n"/>
      <c r="F385" s="96" t="n"/>
      <c r="G385" s="96" t="n"/>
      <c r="H385" s="92" t="n"/>
      <c r="I385" s="92" t="n"/>
      <c r="J385" s="92" t="n"/>
      <c r="K385" s="92" t="n"/>
      <c r="L385" s="92" t="n"/>
      <c r="M385" s="97" t="n"/>
      <c r="N385" s="92" t="n"/>
      <c r="O385" s="92" t="n"/>
      <c r="P385" s="92" t="n"/>
    </row>
    <row r="386" ht="32" customHeight="1">
      <c r="A386" s="91" t="n"/>
      <c r="B386" s="91" t="n"/>
      <c r="C386" s="91" t="n"/>
      <c r="D386" s="91" t="n"/>
      <c r="E386" s="91" t="n"/>
      <c r="F386" s="94" t="n"/>
      <c r="G386" s="94" t="n"/>
      <c r="H386" s="91" t="n"/>
      <c r="I386" s="91" t="n"/>
      <c r="J386" s="91" t="n"/>
      <c r="K386" s="91" t="n"/>
      <c r="L386" s="91" t="n"/>
      <c r="M386" s="95" t="n"/>
      <c r="N386" s="91" t="n"/>
      <c r="O386" s="91" t="n"/>
      <c r="P386" s="91" t="n"/>
    </row>
    <row r="387" ht="32" customHeight="1">
      <c r="A387" s="92" t="n"/>
      <c r="B387" s="92" t="n"/>
      <c r="C387" s="92" t="n"/>
      <c r="D387" s="92" t="n"/>
      <c r="E387" s="92" t="n"/>
      <c r="F387" s="96" t="n"/>
      <c r="G387" s="96" t="n"/>
      <c r="H387" s="92" t="n"/>
      <c r="I387" s="92" t="n"/>
      <c r="J387" s="92" t="n"/>
      <c r="K387" s="92" t="n"/>
      <c r="L387" s="92" t="n"/>
      <c r="M387" s="97" t="n"/>
      <c r="N387" s="92" t="n"/>
      <c r="O387" s="92" t="n"/>
      <c r="P387" s="92" t="n"/>
    </row>
    <row r="388" ht="32" customHeight="1">
      <c r="A388" s="91" t="n"/>
      <c r="B388" s="91" t="n"/>
      <c r="C388" s="91" t="n"/>
      <c r="D388" s="91" t="n"/>
      <c r="E388" s="91" t="n"/>
      <c r="F388" s="94" t="n"/>
      <c r="G388" s="94" t="n"/>
      <c r="H388" s="91" t="n"/>
      <c r="I388" s="91" t="n"/>
      <c r="J388" s="91" t="n"/>
      <c r="K388" s="91" t="n"/>
      <c r="L388" s="91" t="n"/>
      <c r="M388" s="95" t="n"/>
      <c r="N388" s="91" t="n"/>
      <c r="O388" s="91" t="n"/>
      <c r="P388" s="91" t="n"/>
    </row>
    <row r="389" ht="32" customHeight="1">
      <c r="A389" s="92" t="n"/>
      <c r="B389" s="92" t="n"/>
      <c r="C389" s="92" t="n"/>
      <c r="D389" s="92" t="n"/>
      <c r="E389" s="92" t="n"/>
      <c r="F389" s="96" t="n"/>
      <c r="G389" s="96" t="n"/>
      <c r="H389" s="92" t="n"/>
      <c r="I389" s="92" t="n"/>
      <c r="J389" s="92" t="n"/>
      <c r="K389" s="92" t="n"/>
      <c r="L389" s="92" t="n"/>
      <c r="M389" s="97" t="n"/>
      <c r="N389" s="92" t="n"/>
      <c r="O389" s="92" t="n"/>
      <c r="P389" s="92" t="n"/>
    </row>
    <row r="390" ht="32" customHeight="1">
      <c r="A390" s="91" t="n"/>
      <c r="B390" s="91" t="n"/>
      <c r="C390" s="91" t="n"/>
      <c r="D390" s="91" t="n"/>
      <c r="E390" s="91" t="n"/>
      <c r="F390" s="94" t="n"/>
      <c r="G390" s="94" t="n"/>
      <c r="H390" s="91" t="n"/>
      <c r="I390" s="91" t="n"/>
      <c r="J390" s="91" t="n"/>
      <c r="K390" s="91" t="n"/>
      <c r="L390" s="91" t="n"/>
      <c r="M390" s="95" t="n"/>
      <c r="N390" s="91" t="n"/>
      <c r="O390" s="91" t="n"/>
      <c r="P390" s="91" t="n"/>
    </row>
    <row r="391" ht="32" customHeight="1">
      <c r="A391" s="92" t="n"/>
      <c r="B391" s="92" t="n"/>
      <c r="C391" s="92" t="n"/>
      <c r="D391" s="92" t="n"/>
      <c r="E391" s="92" t="n"/>
      <c r="F391" s="96" t="n"/>
      <c r="G391" s="96" t="n"/>
      <c r="H391" s="92" t="n"/>
      <c r="I391" s="92" t="n"/>
      <c r="J391" s="92" t="n"/>
      <c r="K391" s="92" t="n"/>
      <c r="L391" s="92" t="n"/>
      <c r="M391" s="97" t="n"/>
      <c r="N391" s="92" t="n"/>
      <c r="O391" s="92" t="n"/>
      <c r="P391" s="92" t="n"/>
    </row>
    <row r="392" ht="32" customHeight="1">
      <c r="A392" s="91" t="n"/>
      <c r="B392" s="91" t="n"/>
      <c r="C392" s="91" t="n"/>
      <c r="D392" s="91" t="n"/>
      <c r="E392" s="91" t="n"/>
      <c r="F392" s="94" t="n"/>
      <c r="G392" s="94" t="n"/>
      <c r="H392" s="91" t="n"/>
      <c r="I392" s="91" t="n"/>
      <c r="J392" s="91" t="n"/>
      <c r="K392" s="91" t="n"/>
      <c r="L392" s="91" t="n"/>
      <c r="M392" s="95" t="n"/>
      <c r="N392" s="91" t="n"/>
      <c r="O392" s="91" t="n"/>
      <c r="P392" s="91" t="n"/>
    </row>
    <row r="393" ht="32" customHeight="1">
      <c r="A393" s="92" t="n"/>
      <c r="B393" s="92" t="n"/>
      <c r="C393" s="92" t="n"/>
      <c r="D393" s="92" t="n"/>
      <c r="E393" s="92" t="n"/>
      <c r="F393" s="96" t="n"/>
      <c r="G393" s="96" t="n"/>
      <c r="H393" s="92" t="n"/>
      <c r="I393" s="92" t="n"/>
      <c r="J393" s="92" t="n"/>
      <c r="K393" s="92" t="n"/>
      <c r="L393" s="92" t="n"/>
      <c r="M393" s="97" t="n"/>
      <c r="N393" s="92" t="n"/>
      <c r="O393" s="92" t="n"/>
      <c r="P393" s="92" t="n"/>
    </row>
    <row r="394" ht="32" customHeight="1">
      <c r="A394" s="91" t="n"/>
      <c r="B394" s="91" t="n"/>
      <c r="C394" s="91" t="n"/>
      <c r="D394" s="91" t="n"/>
      <c r="E394" s="91" t="n"/>
      <c r="F394" s="94" t="n"/>
      <c r="G394" s="94" t="n"/>
      <c r="H394" s="91" t="n"/>
      <c r="I394" s="91" t="n"/>
      <c r="J394" s="91" t="n"/>
      <c r="K394" s="91" t="n"/>
      <c r="L394" s="91" t="n"/>
      <c r="M394" s="95" t="n"/>
      <c r="N394" s="91" t="n"/>
      <c r="O394" s="91" t="n"/>
      <c r="P394" s="91" t="n"/>
    </row>
    <row r="395" ht="32" customHeight="1">
      <c r="A395" s="92" t="n"/>
      <c r="B395" s="92" t="n"/>
      <c r="C395" s="92" t="n"/>
      <c r="D395" s="92" t="n"/>
      <c r="E395" s="92" t="n"/>
      <c r="F395" s="96" t="n"/>
      <c r="G395" s="96" t="n"/>
      <c r="H395" s="92" t="n"/>
      <c r="I395" s="92" t="n"/>
      <c r="J395" s="92" t="n"/>
      <c r="K395" s="92" t="n"/>
      <c r="L395" s="92" t="n"/>
      <c r="M395" s="97" t="n"/>
      <c r="N395" s="92" t="n"/>
      <c r="O395" s="92" t="n"/>
      <c r="P395" s="92" t="n"/>
    </row>
    <row r="396" ht="32" customHeight="1">
      <c r="A396" s="91" t="n"/>
      <c r="B396" s="91" t="n"/>
      <c r="C396" s="91" t="n"/>
      <c r="D396" s="91" t="n"/>
      <c r="E396" s="91" t="n"/>
      <c r="F396" s="94" t="n"/>
      <c r="G396" s="94" t="n"/>
      <c r="H396" s="91" t="n"/>
      <c r="I396" s="91" t="n"/>
      <c r="J396" s="91" t="n"/>
      <c r="K396" s="91" t="n"/>
      <c r="L396" s="91" t="n"/>
      <c r="M396" s="95" t="n"/>
      <c r="N396" s="91" t="n"/>
      <c r="O396" s="91" t="n"/>
      <c r="P396" s="91" t="n"/>
    </row>
    <row r="397" ht="32" customHeight="1">
      <c r="A397" s="92" t="n"/>
      <c r="B397" s="92" t="n"/>
      <c r="C397" s="92" t="n"/>
      <c r="D397" s="92" t="n"/>
      <c r="E397" s="92" t="n"/>
      <c r="F397" s="96" t="n"/>
      <c r="G397" s="96" t="n"/>
      <c r="H397" s="92" t="n"/>
      <c r="I397" s="92" t="n"/>
      <c r="J397" s="92" t="n"/>
      <c r="K397" s="92" t="n"/>
      <c r="L397" s="92" t="n"/>
      <c r="M397" s="97" t="n"/>
      <c r="N397" s="92" t="n"/>
      <c r="O397" s="92" t="n"/>
      <c r="P397" s="92" t="n"/>
    </row>
    <row r="398" ht="32" customHeight="1">
      <c r="A398" s="91" t="n"/>
      <c r="B398" s="91" t="n"/>
      <c r="C398" s="91" t="n"/>
      <c r="D398" s="91" t="n"/>
      <c r="E398" s="91" t="n"/>
      <c r="F398" s="94" t="n"/>
      <c r="G398" s="94" t="n"/>
      <c r="H398" s="91" t="n"/>
      <c r="I398" s="91" t="n"/>
      <c r="J398" s="91" t="n"/>
      <c r="K398" s="91" t="n"/>
      <c r="L398" s="91" t="n"/>
      <c r="M398" s="95" t="n"/>
      <c r="N398" s="91" t="n"/>
      <c r="O398" s="91" t="n"/>
      <c r="P398" s="91" t="n"/>
    </row>
    <row r="399" ht="32" customHeight="1">
      <c r="A399" s="92" t="n"/>
      <c r="B399" s="92" t="n"/>
      <c r="C399" s="92" t="n"/>
      <c r="D399" s="92" t="n"/>
      <c r="E399" s="92" t="n"/>
      <c r="F399" s="96" t="n"/>
      <c r="G399" s="96" t="n"/>
      <c r="H399" s="92" t="n"/>
      <c r="I399" s="92" t="n"/>
      <c r="J399" s="92" t="n"/>
      <c r="K399" s="92" t="n"/>
      <c r="L399" s="92" t="n"/>
      <c r="M399" s="97" t="n"/>
      <c r="N399" s="92" t="n"/>
      <c r="O399" s="92" t="n"/>
      <c r="P399" s="92" t="n"/>
    </row>
    <row r="400" ht="32" customHeight="1">
      <c r="A400" s="91" t="n"/>
      <c r="B400" s="91" t="n"/>
      <c r="C400" s="91" t="n"/>
      <c r="D400" s="91" t="n"/>
      <c r="E400" s="91" t="n"/>
      <c r="F400" s="94" t="n"/>
      <c r="G400" s="94" t="n"/>
      <c r="H400" s="91" t="n"/>
      <c r="I400" s="91" t="n"/>
      <c r="J400" s="91" t="n"/>
      <c r="K400" s="91" t="n"/>
      <c r="L400" s="91" t="n"/>
      <c r="M400" s="95" t="n"/>
      <c r="N400" s="91" t="n"/>
      <c r="O400" s="91" t="n"/>
      <c r="P400" s="91" t="n"/>
    </row>
    <row r="401" ht="32" customHeight="1">
      <c r="A401" s="92" t="n"/>
      <c r="B401" s="92" t="n"/>
      <c r="C401" s="92" t="n"/>
      <c r="D401" s="92" t="n"/>
      <c r="E401" s="92" t="n"/>
      <c r="F401" s="96" t="n"/>
      <c r="G401" s="96" t="n"/>
      <c r="H401" s="92" t="n"/>
      <c r="I401" s="92" t="n"/>
      <c r="J401" s="92" t="n"/>
      <c r="K401" s="92" t="n"/>
      <c r="L401" s="92" t="n"/>
      <c r="M401" s="97" t="n"/>
      <c r="N401" s="92" t="n"/>
      <c r="O401" s="92" t="n"/>
      <c r="P401" s="92" t="n"/>
    </row>
    <row r="402" ht="32" customHeight="1">
      <c r="A402" s="91" t="n"/>
      <c r="B402" s="91" t="n"/>
      <c r="C402" s="91" t="n"/>
      <c r="D402" s="91" t="n"/>
      <c r="E402" s="91" t="n"/>
      <c r="F402" s="94" t="n"/>
      <c r="G402" s="94" t="n"/>
      <c r="H402" s="91" t="n"/>
      <c r="I402" s="91" t="n"/>
      <c r="J402" s="91" t="n"/>
      <c r="K402" s="91" t="n"/>
      <c r="L402" s="91" t="n"/>
      <c r="M402" s="95" t="n"/>
      <c r="N402" s="91" t="n"/>
      <c r="O402" s="91" t="n"/>
      <c r="P402" s="91" t="n"/>
    </row>
    <row r="403" ht="32" customHeight="1">
      <c r="A403" s="92" t="n"/>
      <c r="B403" s="92" t="n"/>
      <c r="C403" s="92" t="n"/>
      <c r="D403" s="92" t="n"/>
      <c r="E403" s="92" t="n"/>
      <c r="F403" s="96" t="n"/>
      <c r="G403" s="96" t="n"/>
      <c r="H403" s="92" t="n"/>
      <c r="I403" s="92" t="n"/>
      <c r="J403" s="92" t="n"/>
      <c r="K403" s="92" t="n"/>
      <c r="L403" s="92" t="n"/>
      <c r="M403" s="97" t="n"/>
      <c r="N403" s="92" t="n"/>
      <c r="O403" s="92" t="n"/>
      <c r="P403" s="92" t="n"/>
    </row>
    <row r="404" ht="32" customHeight="1">
      <c r="A404" s="91" t="n"/>
      <c r="B404" s="91" t="n"/>
      <c r="C404" s="91" t="n"/>
      <c r="D404" s="91" t="n"/>
      <c r="E404" s="91" t="n"/>
      <c r="F404" s="94" t="n"/>
      <c r="G404" s="94" t="n"/>
      <c r="H404" s="91" t="n"/>
      <c r="I404" s="91" t="n"/>
      <c r="J404" s="91" t="n"/>
      <c r="K404" s="91" t="n"/>
      <c r="L404" s="91" t="n"/>
      <c r="M404" s="95" t="n"/>
      <c r="N404" s="91" t="n"/>
      <c r="O404" s="91" t="n"/>
      <c r="P404" s="91" t="n"/>
    </row>
    <row r="405" ht="32" customHeight="1">
      <c r="A405" s="92" t="n"/>
      <c r="B405" s="92" t="n"/>
      <c r="C405" s="92" t="n"/>
      <c r="D405" s="92" t="n"/>
      <c r="E405" s="92" t="n"/>
      <c r="F405" s="96" t="n"/>
      <c r="G405" s="96" t="n"/>
      <c r="H405" s="92" t="n"/>
      <c r="I405" s="92" t="n"/>
      <c r="J405" s="92" t="n"/>
      <c r="K405" s="92" t="n"/>
      <c r="L405" s="92" t="n"/>
      <c r="M405" s="97" t="n"/>
      <c r="N405" s="92" t="n"/>
      <c r="O405" s="92" t="n"/>
      <c r="P405" s="92" t="n"/>
    </row>
    <row r="406" ht="32" customHeight="1">
      <c r="A406" s="91" t="n"/>
      <c r="B406" s="91" t="n"/>
      <c r="C406" s="91" t="n"/>
      <c r="D406" s="91" t="n"/>
      <c r="E406" s="91" t="n"/>
      <c r="F406" s="94" t="n"/>
      <c r="G406" s="94" t="n"/>
      <c r="H406" s="91" t="n"/>
      <c r="I406" s="91" t="n"/>
      <c r="J406" s="91" t="n"/>
      <c r="K406" s="91" t="n"/>
      <c r="L406" s="91" t="n"/>
      <c r="M406" s="95" t="n"/>
      <c r="N406" s="91" t="n"/>
      <c r="O406" s="91" t="n"/>
      <c r="P406" s="91" t="n"/>
    </row>
    <row r="407" ht="32" customHeight="1">
      <c r="A407" s="92" t="n"/>
      <c r="B407" s="92" t="n"/>
      <c r="C407" s="92" t="n"/>
      <c r="D407" s="92" t="n"/>
      <c r="E407" s="92" t="n"/>
      <c r="F407" s="96" t="n"/>
      <c r="G407" s="96" t="n"/>
      <c r="H407" s="92" t="n"/>
      <c r="I407" s="92" t="n"/>
      <c r="J407" s="92" t="n"/>
      <c r="K407" s="92" t="n"/>
      <c r="L407" s="92" t="n"/>
      <c r="M407" s="97" t="n"/>
      <c r="N407" s="92" t="n"/>
      <c r="O407" s="92" t="n"/>
      <c r="P407" s="92" t="n"/>
    </row>
    <row r="408" ht="32" customHeight="1">
      <c r="A408" s="91" t="n"/>
      <c r="B408" s="91" t="n"/>
      <c r="C408" s="91" t="n"/>
      <c r="D408" s="91" t="n"/>
      <c r="E408" s="91" t="n"/>
      <c r="F408" s="94" t="n"/>
      <c r="G408" s="94" t="n"/>
      <c r="H408" s="91" t="n"/>
      <c r="I408" s="91" t="n"/>
      <c r="J408" s="91" t="n"/>
      <c r="K408" s="91" t="n"/>
      <c r="L408" s="91" t="n"/>
      <c r="M408" s="95" t="n"/>
      <c r="N408" s="91" t="n"/>
      <c r="O408" s="91" t="n"/>
      <c r="P408" s="91" t="n"/>
    </row>
    <row r="409" ht="32" customHeight="1">
      <c r="A409" s="92" t="n"/>
      <c r="B409" s="92" t="n"/>
      <c r="C409" s="92" t="n"/>
      <c r="D409" s="92" t="n"/>
      <c r="E409" s="92" t="n"/>
      <c r="F409" s="96" t="n"/>
      <c r="G409" s="96" t="n"/>
      <c r="H409" s="92" t="n"/>
      <c r="I409" s="92" t="n"/>
      <c r="J409" s="92" t="n"/>
      <c r="K409" s="92" t="n"/>
      <c r="L409" s="92" t="n"/>
      <c r="M409" s="97" t="n"/>
      <c r="N409" s="92" t="n"/>
      <c r="O409" s="92" t="n"/>
      <c r="P409" s="92" t="n"/>
    </row>
    <row r="410" ht="32" customHeight="1">
      <c r="A410" s="91" t="n"/>
      <c r="B410" s="91" t="n"/>
      <c r="C410" s="91" t="n"/>
      <c r="D410" s="91" t="n"/>
      <c r="E410" s="91" t="n"/>
      <c r="F410" s="94" t="n"/>
      <c r="G410" s="94" t="n"/>
      <c r="H410" s="91" t="n"/>
      <c r="I410" s="91" t="n"/>
      <c r="J410" s="91" t="n"/>
      <c r="K410" s="91" t="n"/>
      <c r="L410" s="91" t="n"/>
      <c r="M410" s="95" t="n"/>
      <c r="N410" s="91" t="n"/>
      <c r="O410" s="91" t="n"/>
      <c r="P410" s="91" t="n"/>
    </row>
    <row r="411" ht="32" customHeight="1">
      <c r="A411" s="92" t="n"/>
      <c r="B411" s="92" t="n"/>
      <c r="C411" s="92" t="n"/>
      <c r="D411" s="92" t="n"/>
      <c r="E411" s="92" t="n"/>
      <c r="F411" s="96" t="n"/>
      <c r="G411" s="96" t="n"/>
      <c r="H411" s="92" t="n"/>
      <c r="I411" s="92" t="n"/>
      <c r="J411" s="92" t="n"/>
      <c r="K411" s="92" t="n"/>
      <c r="L411" s="92" t="n"/>
      <c r="M411" s="97" t="n"/>
      <c r="N411" s="92" t="n"/>
      <c r="O411" s="92" t="n"/>
      <c r="P411" s="92" t="n"/>
    </row>
    <row r="412" ht="32" customHeight="1">
      <c r="A412" s="91" t="n"/>
      <c r="B412" s="91" t="n"/>
      <c r="C412" s="91" t="n"/>
      <c r="D412" s="91" t="n"/>
      <c r="E412" s="91" t="n"/>
      <c r="F412" s="94" t="n"/>
      <c r="G412" s="94" t="n"/>
      <c r="H412" s="91" t="n"/>
      <c r="I412" s="91" t="n"/>
      <c r="J412" s="91" t="n"/>
      <c r="K412" s="91" t="n"/>
      <c r="L412" s="91" t="n"/>
      <c r="M412" s="95" t="n"/>
      <c r="N412" s="91" t="n"/>
      <c r="O412" s="91" t="n"/>
      <c r="P412" s="91" t="n"/>
    </row>
    <row r="413" ht="32" customHeight="1">
      <c r="A413" s="92" t="n"/>
      <c r="B413" s="92" t="n"/>
      <c r="C413" s="92" t="n"/>
      <c r="D413" s="92" t="n"/>
      <c r="E413" s="92" t="n"/>
      <c r="F413" s="96" t="n"/>
      <c r="G413" s="96" t="n"/>
      <c r="H413" s="92" t="n"/>
      <c r="I413" s="92" t="n"/>
      <c r="J413" s="92" t="n"/>
      <c r="K413" s="92" t="n"/>
      <c r="L413" s="92" t="n"/>
      <c r="M413" s="97" t="n"/>
      <c r="N413" s="92" t="n"/>
      <c r="O413" s="92" t="n"/>
      <c r="P413" s="92" t="n"/>
    </row>
    <row r="414" ht="32" customHeight="1">
      <c r="A414" s="91" t="n"/>
      <c r="B414" s="91" t="n"/>
      <c r="C414" s="91" t="n"/>
      <c r="D414" s="91" t="n"/>
      <c r="E414" s="91" t="n"/>
      <c r="F414" s="94" t="n"/>
      <c r="G414" s="94" t="n"/>
      <c r="H414" s="91" t="n"/>
      <c r="I414" s="91" t="n"/>
      <c r="J414" s="91" t="n"/>
      <c r="K414" s="91" t="n"/>
      <c r="L414" s="91" t="n"/>
      <c r="M414" s="95" t="n"/>
      <c r="N414" s="91" t="n"/>
      <c r="O414" s="91" t="n"/>
      <c r="P414" s="91" t="n"/>
    </row>
    <row r="415" ht="32" customHeight="1">
      <c r="A415" s="92" t="n"/>
      <c r="B415" s="92" t="n"/>
      <c r="C415" s="92" t="n"/>
      <c r="D415" s="92" t="n"/>
      <c r="E415" s="92" t="n"/>
      <c r="F415" s="96" t="n"/>
      <c r="G415" s="96" t="n"/>
      <c r="H415" s="92" t="n"/>
      <c r="I415" s="92" t="n"/>
      <c r="J415" s="92" t="n"/>
      <c r="K415" s="92" t="n"/>
      <c r="L415" s="92" t="n"/>
      <c r="M415" s="97" t="n"/>
      <c r="N415" s="92" t="n"/>
      <c r="O415" s="92" t="n"/>
      <c r="P415" s="92" t="n"/>
    </row>
    <row r="416" ht="32" customHeight="1">
      <c r="A416" s="91" t="n"/>
      <c r="B416" s="91" t="n"/>
      <c r="C416" s="91" t="n"/>
      <c r="D416" s="91" t="n"/>
      <c r="E416" s="91" t="n"/>
      <c r="F416" s="94" t="n"/>
      <c r="G416" s="94" t="n"/>
      <c r="H416" s="91" t="n"/>
      <c r="I416" s="91" t="n"/>
      <c r="J416" s="91" t="n"/>
      <c r="K416" s="91" t="n"/>
      <c r="L416" s="91" t="n"/>
      <c r="M416" s="95" t="n"/>
      <c r="N416" s="91" t="n"/>
      <c r="O416" s="91" t="n"/>
      <c r="P416" s="91" t="n"/>
    </row>
    <row r="417" ht="32" customHeight="1">
      <c r="A417" s="92" t="n"/>
      <c r="B417" s="92" t="n"/>
      <c r="C417" s="92" t="n"/>
      <c r="D417" s="92" t="n"/>
      <c r="E417" s="92" t="n"/>
      <c r="F417" s="96" t="n"/>
      <c r="G417" s="96" t="n"/>
      <c r="H417" s="92" t="n"/>
      <c r="I417" s="92" t="n"/>
      <c r="J417" s="92" t="n"/>
      <c r="K417" s="92" t="n"/>
      <c r="L417" s="92" t="n"/>
      <c r="M417" s="97" t="n"/>
      <c r="N417" s="92" t="n"/>
      <c r="O417" s="92" t="n"/>
      <c r="P417" s="92" t="n"/>
    </row>
    <row r="418" ht="32" customHeight="1">
      <c r="A418" s="91" t="n"/>
      <c r="B418" s="91" t="n"/>
      <c r="C418" s="91" t="n"/>
      <c r="D418" s="91" t="n"/>
      <c r="E418" s="91" t="n"/>
      <c r="F418" s="94" t="n"/>
      <c r="G418" s="94" t="n"/>
      <c r="H418" s="91" t="n"/>
      <c r="I418" s="91" t="n"/>
      <c r="J418" s="91" t="n"/>
      <c r="K418" s="91" t="n"/>
      <c r="L418" s="91" t="n"/>
      <c r="M418" s="95" t="n"/>
      <c r="N418" s="91" t="n"/>
      <c r="O418" s="91" t="n"/>
      <c r="P418" s="91" t="n"/>
    </row>
    <row r="419" ht="32" customHeight="1">
      <c r="A419" s="92" t="n"/>
      <c r="B419" s="92" t="n"/>
      <c r="C419" s="92" t="n"/>
      <c r="D419" s="92" t="n"/>
      <c r="E419" s="92" t="n"/>
      <c r="F419" s="96" t="n"/>
      <c r="G419" s="96" t="n"/>
      <c r="H419" s="92" t="n"/>
      <c r="I419" s="92" t="n"/>
      <c r="J419" s="92" t="n"/>
      <c r="K419" s="92" t="n"/>
      <c r="L419" s="92" t="n"/>
      <c r="M419" s="97" t="n"/>
      <c r="N419" s="92" t="n"/>
      <c r="O419" s="92" t="n"/>
      <c r="P419" s="92" t="n"/>
    </row>
    <row r="420" ht="32" customHeight="1">
      <c r="A420" s="91" t="n"/>
      <c r="B420" s="91" t="n"/>
      <c r="C420" s="91" t="n"/>
      <c r="D420" s="91" t="n"/>
      <c r="E420" s="91" t="n"/>
      <c r="F420" s="94" t="n"/>
      <c r="G420" s="94" t="n"/>
      <c r="H420" s="91" t="n"/>
      <c r="I420" s="91" t="n"/>
      <c r="J420" s="91" t="n"/>
      <c r="K420" s="91" t="n"/>
      <c r="L420" s="91" t="n"/>
      <c r="M420" s="95" t="n"/>
      <c r="N420" s="91" t="n"/>
      <c r="O420" s="91" t="n"/>
      <c r="P420" s="91" t="n"/>
    </row>
    <row r="421" ht="32" customHeight="1">
      <c r="A421" s="92" t="n"/>
      <c r="B421" s="92" t="n"/>
      <c r="C421" s="92" t="n"/>
      <c r="D421" s="92" t="n"/>
      <c r="E421" s="92" t="n"/>
      <c r="F421" s="96" t="n"/>
      <c r="G421" s="96" t="n"/>
      <c r="H421" s="92" t="n"/>
      <c r="I421" s="92" t="n"/>
      <c r="J421" s="92" t="n"/>
      <c r="K421" s="92" t="n"/>
      <c r="L421" s="92" t="n"/>
      <c r="M421" s="97" t="n"/>
      <c r="N421" s="92" t="n"/>
      <c r="O421" s="92" t="n"/>
      <c r="P421" s="92" t="n"/>
    </row>
    <row r="422" ht="32" customHeight="1">
      <c r="A422" s="91" t="n"/>
      <c r="B422" s="91" t="n"/>
      <c r="C422" s="91" t="n"/>
      <c r="D422" s="91" t="n"/>
      <c r="E422" s="91" t="n"/>
      <c r="F422" s="94" t="n"/>
      <c r="G422" s="94" t="n"/>
      <c r="H422" s="91" t="n"/>
      <c r="I422" s="91" t="n"/>
      <c r="J422" s="91" t="n"/>
      <c r="K422" s="91" t="n"/>
      <c r="L422" s="91" t="n"/>
      <c r="M422" s="95" t="n"/>
      <c r="N422" s="91" t="n"/>
      <c r="O422" s="91" t="n"/>
      <c r="P422" s="91" t="n"/>
    </row>
    <row r="423" ht="32" customHeight="1">
      <c r="A423" s="92" t="n"/>
      <c r="B423" s="92" t="n"/>
      <c r="C423" s="92" t="n"/>
      <c r="D423" s="92" t="n"/>
      <c r="E423" s="92" t="n"/>
      <c r="F423" s="96" t="n"/>
      <c r="G423" s="96" t="n"/>
      <c r="H423" s="92" t="n"/>
      <c r="I423" s="92" t="n"/>
      <c r="J423" s="92" t="n"/>
      <c r="K423" s="92" t="n"/>
      <c r="L423" s="92" t="n"/>
      <c r="M423" s="97" t="n"/>
      <c r="N423" s="92" t="n"/>
      <c r="O423" s="92" t="n"/>
      <c r="P423" s="92" t="n"/>
    </row>
    <row r="424" ht="32" customHeight="1">
      <c r="A424" s="91" t="n"/>
      <c r="B424" s="91" t="n"/>
      <c r="C424" s="91" t="n"/>
      <c r="D424" s="91" t="n"/>
      <c r="E424" s="91" t="n"/>
      <c r="F424" s="94" t="n"/>
      <c r="G424" s="94" t="n"/>
      <c r="H424" s="91" t="n"/>
      <c r="I424" s="91" t="n"/>
      <c r="J424" s="91" t="n"/>
      <c r="K424" s="91" t="n"/>
      <c r="L424" s="91" t="n"/>
      <c r="M424" s="95" t="n"/>
      <c r="N424" s="91" t="n"/>
      <c r="O424" s="91" t="n"/>
      <c r="P424" s="91" t="n"/>
    </row>
    <row r="425" ht="32" customHeight="1">
      <c r="A425" s="92" t="n"/>
      <c r="B425" s="92" t="n"/>
      <c r="C425" s="92" t="n"/>
      <c r="D425" s="92" t="n"/>
      <c r="E425" s="92" t="n"/>
      <c r="F425" s="96" t="n"/>
      <c r="G425" s="96" t="n"/>
      <c r="H425" s="92" t="n"/>
      <c r="I425" s="92" t="n"/>
      <c r="J425" s="92" t="n"/>
      <c r="K425" s="92" t="n"/>
      <c r="L425" s="92" t="n"/>
      <c r="M425" s="97" t="n"/>
      <c r="N425" s="92" t="n"/>
      <c r="O425" s="92" t="n"/>
      <c r="P425" s="92" t="n"/>
    </row>
    <row r="426" ht="32" customHeight="1">
      <c r="A426" s="91" t="n"/>
      <c r="B426" s="91" t="n"/>
      <c r="C426" s="91" t="n"/>
      <c r="D426" s="91" t="n"/>
      <c r="E426" s="91" t="n"/>
      <c r="F426" s="94" t="n"/>
      <c r="G426" s="94" t="n"/>
      <c r="H426" s="91" t="n"/>
      <c r="I426" s="91" t="n"/>
      <c r="J426" s="91" t="n"/>
      <c r="K426" s="91" t="n"/>
      <c r="L426" s="91" t="n"/>
      <c r="M426" s="95" t="n"/>
      <c r="N426" s="91" t="n"/>
      <c r="O426" s="91" t="n"/>
      <c r="P426" s="91" t="n"/>
    </row>
    <row r="427" ht="32" customHeight="1">
      <c r="A427" s="92" t="n"/>
      <c r="B427" s="92" t="n"/>
      <c r="C427" s="92" t="n"/>
      <c r="D427" s="92" t="n"/>
      <c r="E427" s="92" t="n"/>
      <c r="F427" s="96" t="n"/>
      <c r="G427" s="96" t="n"/>
      <c r="H427" s="92" t="n"/>
      <c r="I427" s="92" t="n"/>
      <c r="J427" s="92" t="n"/>
      <c r="K427" s="92" t="n"/>
      <c r="L427" s="92" t="n"/>
      <c r="M427" s="97" t="n"/>
      <c r="N427" s="92" t="n"/>
      <c r="O427" s="92" t="n"/>
      <c r="P427" s="92" t="n"/>
    </row>
    <row r="428" ht="32" customHeight="1">
      <c r="A428" s="91" t="n"/>
      <c r="B428" s="91" t="n"/>
      <c r="C428" s="91" t="n"/>
      <c r="D428" s="91" t="n"/>
      <c r="E428" s="91" t="n"/>
      <c r="F428" s="94" t="n"/>
      <c r="G428" s="94" t="n"/>
      <c r="H428" s="91" t="n"/>
      <c r="I428" s="91" t="n"/>
      <c r="J428" s="91" t="n"/>
      <c r="K428" s="91" t="n"/>
      <c r="L428" s="91" t="n"/>
      <c r="M428" s="95" t="n"/>
      <c r="N428" s="91" t="n"/>
      <c r="O428" s="91" t="n"/>
      <c r="P428" s="91" t="n"/>
    </row>
    <row r="429" ht="32" customHeight="1">
      <c r="A429" s="92" t="n"/>
      <c r="B429" s="92" t="n"/>
      <c r="C429" s="92" t="n"/>
      <c r="D429" s="92" t="n"/>
      <c r="E429" s="92" t="n"/>
      <c r="F429" s="96" t="n"/>
      <c r="G429" s="96" t="n"/>
      <c r="H429" s="92" t="n"/>
      <c r="I429" s="92" t="n"/>
      <c r="J429" s="92" t="n"/>
      <c r="K429" s="92" t="n"/>
      <c r="L429" s="92" t="n"/>
      <c r="M429" s="97" t="n"/>
      <c r="N429" s="92" t="n"/>
      <c r="O429" s="92" t="n"/>
      <c r="P429" s="92" t="n"/>
    </row>
    <row r="430" ht="32" customHeight="1">
      <c r="A430" s="91" t="n"/>
      <c r="B430" s="91" t="n"/>
      <c r="C430" s="91" t="n"/>
      <c r="D430" s="91" t="n"/>
      <c r="E430" s="91" t="n"/>
      <c r="F430" s="94" t="n"/>
      <c r="G430" s="94" t="n"/>
      <c r="H430" s="91" t="n"/>
      <c r="I430" s="91" t="n"/>
      <c r="J430" s="91" t="n"/>
      <c r="K430" s="91" t="n"/>
      <c r="L430" s="91" t="n"/>
      <c r="M430" s="95" t="n"/>
      <c r="N430" s="91" t="n"/>
      <c r="O430" s="91" t="n"/>
      <c r="P430" s="91" t="n"/>
    </row>
    <row r="431" ht="32" customHeight="1">
      <c r="A431" s="92" t="n"/>
      <c r="B431" s="92" t="n"/>
      <c r="C431" s="92" t="n"/>
      <c r="D431" s="92" t="n"/>
      <c r="E431" s="92" t="n"/>
      <c r="F431" s="96" t="n"/>
      <c r="G431" s="96" t="n"/>
      <c r="H431" s="92" t="n"/>
      <c r="I431" s="92" t="n"/>
      <c r="J431" s="92" t="n"/>
      <c r="K431" s="92" t="n"/>
      <c r="L431" s="92" t="n"/>
      <c r="M431" s="97" t="n"/>
      <c r="N431" s="92" t="n"/>
      <c r="O431" s="92" t="n"/>
      <c r="P431" s="92" t="n"/>
    </row>
    <row r="432" ht="32" customHeight="1">
      <c r="A432" s="91" t="n"/>
      <c r="B432" s="91" t="n"/>
      <c r="C432" s="91" t="n"/>
      <c r="D432" s="91" t="n"/>
      <c r="E432" s="91" t="n"/>
      <c r="F432" s="94" t="n"/>
      <c r="G432" s="94" t="n"/>
      <c r="H432" s="91" t="n"/>
      <c r="I432" s="91" t="n"/>
      <c r="J432" s="91" t="n"/>
      <c r="K432" s="91" t="n"/>
      <c r="L432" s="91" t="n"/>
      <c r="M432" s="95" t="n"/>
      <c r="N432" s="91" t="n"/>
      <c r="O432" s="91" t="n"/>
      <c r="P432" s="91" t="n"/>
    </row>
    <row r="433" ht="32" customHeight="1">
      <c r="A433" s="92" t="n"/>
      <c r="B433" s="92" t="n"/>
      <c r="C433" s="92" t="n"/>
      <c r="D433" s="92" t="n"/>
      <c r="E433" s="92" t="n"/>
      <c r="F433" s="96" t="n"/>
      <c r="G433" s="96" t="n"/>
      <c r="H433" s="92" t="n"/>
      <c r="I433" s="92" t="n"/>
      <c r="J433" s="92" t="n"/>
      <c r="K433" s="92" t="n"/>
      <c r="L433" s="92" t="n"/>
      <c r="M433" s="97" t="n"/>
      <c r="N433" s="92" t="n"/>
      <c r="O433" s="92" t="n"/>
      <c r="P433" s="92" t="n"/>
    </row>
    <row r="434" ht="32" customHeight="1">
      <c r="A434" s="91" t="n"/>
      <c r="B434" s="91" t="n"/>
      <c r="C434" s="91" t="n"/>
      <c r="D434" s="91" t="n"/>
      <c r="E434" s="91" t="n"/>
      <c r="F434" s="94" t="n"/>
      <c r="G434" s="94" t="n"/>
      <c r="H434" s="91" t="n"/>
      <c r="I434" s="91" t="n"/>
      <c r="J434" s="91" t="n"/>
      <c r="K434" s="91" t="n"/>
      <c r="L434" s="91" t="n"/>
      <c r="M434" s="95" t="n"/>
      <c r="N434" s="91" t="n"/>
      <c r="O434" s="91" t="n"/>
      <c r="P434" s="91" t="n"/>
    </row>
    <row r="435" ht="32" customHeight="1">
      <c r="A435" s="92" t="n"/>
      <c r="B435" s="92" t="n"/>
      <c r="C435" s="92" t="n"/>
      <c r="D435" s="92" t="n"/>
      <c r="E435" s="92" t="n"/>
      <c r="F435" s="96" t="n"/>
      <c r="G435" s="96" t="n"/>
      <c r="H435" s="92" t="n"/>
      <c r="I435" s="92" t="n"/>
      <c r="J435" s="92" t="n"/>
      <c r="K435" s="92" t="n"/>
      <c r="L435" s="92" t="n"/>
      <c r="M435" s="97" t="n"/>
      <c r="N435" s="92" t="n"/>
      <c r="O435" s="92" t="n"/>
      <c r="P435" s="92" t="n"/>
    </row>
    <row r="436" ht="32" customHeight="1">
      <c r="A436" s="91" t="n"/>
      <c r="B436" s="91" t="n"/>
      <c r="C436" s="91" t="n"/>
      <c r="D436" s="91" t="n"/>
      <c r="E436" s="91" t="n"/>
      <c r="F436" s="94" t="n"/>
      <c r="G436" s="94" t="n"/>
      <c r="H436" s="91" t="n"/>
      <c r="I436" s="91" t="n"/>
      <c r="J436" s="91" t="n"/>
      <c r="K436" s="91" t="n"/>
      <c r="L436" s="91" t="n"/>
      <c r="M436" s="95" t="n"/>
      <c r="N436" s="91" t="n"/>
      <c r="O436" s="91" t="n"/>
      <c r="P436" s="91" t="n"/>
    </row>
    <row r="437" ht="32" customHeight="1">
      <c r="A437" s="92" t="n"/>
      <c r="B437" s="92" t="n"/>
      <c r="C437" s="92" t="n"/>
      <c r="D437" s="92" t="n"/>
      <c r="E437" s="92" t="n"/>
      <c r="F437" s="96" t="n"/>
      <c r="G437" s="96" t="n"/>
      <c r="H437" s="92" t="n"/>
      <c r="I437" s="92" t="n"/>
      <c r="J437" s="92" t="n"/>
      <c r="K437" s="92" t="n"/>
      <c r="L437" s="92" t="n"/>
      <c r="M437" s="97" t="n"/>
      <c r="N437" s="92" t="n"/>
      <c r="O437" s="92" t="n"/>
      <c r="P437" s="92" t="n"/>
    </row>
    <row r="438" ht="32" customHeight="1">
      <c r="A438" s="91" t="n"/>
      <c r="B438" s="91" t="n"/>
      <c r="C438" s="91" t="n"/>
      <c r="D438" s="91" t="n"/>
      <c r="E438" s="91" t="n"/>
      <c r="F438" s="94" t="n"/>
      <c r="G438" s="94" t="n"/>
      <c r="H438" s="91" t="n"/>
      <c r="I438" s="91" t="n"/>
      <c r="J438" s="91" t="n"/>
      <c r="K438" s="91" t="n"/>
      <c r="L438" s="91" t="n"/>
      <c r="M438" s="95" t="n"/>
      <c r="N438" s="91" t="n"/>
      <c r="O438" s="91" t="n"/>
      <c r="P438" s="91" t="n"/>
    </row>
    <row r="439" ht="32" customHeight="1">
      <c r="A439" s="92" t="n"/>
      <c r="B439" s="92" t="n"/>
      <c r="C439" s="92" t="n"/>
      <c r="D439" s="92" t="n"/>
      <c r="E439" s="92" t="n"/>
      <c r="F439" s="96" t="n"/>
      <c r="G439" s="96" t="n"/>
      <c r="H439" s="92" t="n"/>
      <c r="I439" s="92" t="n"/>
      <c r="J439" s="92" t="n"/>
      <c r="K439" s="92" t="n"/>
      <c r="L439" s="92" t="n"/>
      <c r="M439" s="97" t="n"/>
      <c r="N439" s="92" t="n"/>
      <c r="O439" s="92" t="n"/>
      <c r="P439" s="92" t="n"/>
    </row>
    <row r="440" ht="32" customHeight="1">
      <c r="A440" s="91" t="n"/>
      <c r="B440" s="91" t="n"/>
      <c r="C440" s="91" t="n"/>
      <c r="D440" s="91" t="n"/>
      <c r="E440" s="91" t="n"/>
      <c r="F440" s="94" t="n"/>
      <c r="G440" s="94" t="n"/>
      <c r="H440" s="91" t="n"/>
      <c r="I440" s="91" t="n"/>
      <c r="J440" s="91" t="n"/>
      <c r="K440" s="91" t="n"/>
      <c r="L440" s="91" t="n"/>
      <c r="M440" s="95" t="n"/>
      <c r="N440" s="91" t="n"/>
      <c r="O440" s="91" t="n"/>
      <c r="P440" s="91" t="n"/>
    </row>
    <row r="441" ht="32" customHeight="1">
      <c r="A441" s="92" t="n"/>
      <c r="B441" s="92" t="n"/>
      <c r="C441" s="92" t="n"/>
      <c r="D441" s="92" t="n"/>
      <c r="E441" s="92" t="n"/>
      <c r="F441" s="96" t="n"/>
      <c r="G441" s="96" t="n"/>
      <c r="H441" s="92" t="n"/>
      <c r="I441" s="92" t="n"/>
      <c r="J441" s="92" t="n"/>
      <c r="K441" s="92" t="n"/>
      <c r="L441" s="92" t="n"/>
      <c r="M441" s="97" t="n"/>
      <c r="N441" s="92" t="n"/>
      <c r="O441" s="92" t="n"/>
      <c r="P441" s="92" t="n"/>
    </row>
    <row r="442" ht="32" customHeight="1">
      <c r="A442" s="91" t="n"/>
      <c r="B442" s="91" t="n"/>
      <c r="C442" s="91" t="n"/>
      <c r="D442" s="91" t="n"/>
      <c r="E442" s="91" t="n"/>
      <c r="F442" s="94" t="n"/>
      <c r="G442" s="94" t="n"/>
      <c r="H442" s="91" t="n"/>
      <c r="I442" s="91" t="n"/>
      <c r="J442" s="91" t="n"/>
      <c r="K442" s="91" t="n"/>
      <c r="L442" s="91" t="n"/>
      <c r="M442" s="95" t="n"/>
      <c r="N442" s="91" t="n"/>
      <c r="O442" s="91" t="n"/>
      <c r="P442" s="91" t="n"/>
    </row>
    <row r="443" ht="32" customHeight="1">
      <c r="A443" s="92" t="n"/>
      <c r="B443" s="92" t="n"/>
      <c r="C443" s="92" t="n"/>
      <c r="D443" s="92" t="n"/>
      <c r="E443" s="92" t="n"/>
      <c r="F443" s="96" t="n"/>
      <c r="G443" s="96" t="n"/>
      <c r="H443" s="92" t="n"/>
      <c r="I443" s="92" t="n"/>
      <c r="J443" s="92" t="n"/>
      <c r="K443" s="92" t="n"/>
      <c r="L443" s="92" t="n"/>
      <c r="M443" s="97" t="n"/>
      <c r="N443" s="92" t="n"/>
      <c r="O443" s="92" t="n"/>
      <c r="P443" s="92" t="n"/>
    </row>
    <row r="444" ht="32" customHeight="1">
      <c r="A444" s="91" t="n"/>
      <c r="B444" s="91" t="n"/>
      <c r="C444" s="91" t="n"/>
      <c r="D444" s="91" t="n"/>
      <c r="E444" s="91" t="n"/>
      <c r="F444" s="94" t="n"/>
      <c r="G444" s="94" t="n"/>
      <c r="H444" s="91" t="n"/>
      <c r="I444" s="91" t="n"/>
      <c r="J444" s="91" t="n"/>
      <c r="K444" s="91" t="n"/>
      <c r="L444" s="91" t="n"/>
      <c r="M444" s="95" t="n"/>
      <c r="N444" s="91" t="n"/>
      <c r="O444" s="91" t="n"/>
      <c r="P444" s="91" t="n"/>
    </row>
    <row r="445" ht="32" customHeight="1">
      <c r="A445" s="92" t="n"/>
      <c r="B445" s="92" t="n"/>
      <c r="C445" s="92" t="n"/>
      <c r="D445" s="92" t="n"/>
      <c r="E445" s="92" t="n"/>
      <c r="F445" s="96" t="n"/>
      <c r="G445" s="96" t="n"/>
      <c r="H445" s="92" t="n"/>
      <c r="I445" s="92" t="n"/>
      <c r="J445" s="92" t="n"/>
      <c r="K445" s="92" t="n"/>
      <c r="L445" s="92" t="n"/>
      <c r="M445" s="97" t="n"/>
      <c r="N445" s="92" t="n"/>
      <c r="O445" s="92" t="n"/>
      <c r="P445" s="92" t="n"/>
    </row>
    <row r="446" ht="32" customHeight="1">
      <c r="A446" s="91" t="n"/>
      <c r="B446" s="91" t="n"/>
      <c r="C446" s="91" t="n"/>
      <c r="D446" s="91" t="n"/>
      <c r="E446" s="91" t="n"/>
      <c r="F446" s="94" t="n"/>
      <c r="G446" s="94" t="n"/>
      <c r="H446" s="91" t="n"/>
      <c r="I446" s="91" t="n"/>
      <c r="J446" s="91" t="n"/>
      <c r="K446" s="91" t="n"/>
      <c r="L446" s="91" t="n"/>
      <c r="M446" s="95" t="n"/>
      <c r="N446" s="91" t="n"/>
      <c r="O446" s="91" t="n"/>
      <c r="P446" s="91" t="n"/>
    </row>
    <row r="447" ht="32" customHeight="1">
      <c r="A447" s="92" t="n"/>
      <c r="B447" s="92" t="n"/>
      <c r="C447" s="92" t="n"/>
      <c r="D447" s="92" t="n"/>
      <c r="E447" s="92" t="n"/>
      <c r="F447" s="96" t="n"/>
      <c r="G447" s="96" t="n"/>
      <c r="H447" s="92" t="n"/>
      <c r="I447" s="92" t="n"/>
      <c r="J447" s="92" t="n"/>
      <c r="K447" s="92" t="n"/>
      <c r="L447" s="92" t="n"/>
      <c r="M447" s="97" t="n"/>
      <c r="N447" s="92" t="n"/>
      <c r="O447" s="92" t="n"/>
      <c r="P447" s="92" t="n"/>
    </row>
    <row r="448" ht="32" customHeight="1">
      <c r="A448" s="91" t="n"/>
      <c r="B448" s="91" t="n"/>
      <c r="C448" s="91" t="n"/>
      <c r="D448" s="91" t="n"/>
      <c r="E448" s="91" t="n"/>
      <c r="F448" s="94" t="n"/>
      <c r="G448" s="94" t="n"/>
      <c r="H448" s="91" t="n"/>
      <c r="I448" s="91" t="n"/>
      <c r="J448" s="91" t="n"/>
      <c r="K448" s="91" t="n"/>
      <c r="L448" s="91" t="n"/>
      <c r="M448" s="95" t="n"/>
      <c r="N448" s="91" t="n"/>
      <c r="O448" s="91" t="n"/>
      <c r="P448" s="91" t="n"/>
    </row>
    <row r="449" ht="32" customHeight="1">
      <c r="A449" s="92" t="n"/>
      <c r="B449" s="92" t="n"/>
      <c r="C449" s="92" t="n"/>
      <c r="D449" s="92" t="n"/>
      <c r="E449" s="92" t="n"/>
      <c r="F449" s="96" t="n"/>
      <c r="G449" s="96" t="n"/>
      <c r="H449" s="92" t="n"/>
      <c r="I449" s="92" t="n"/>
      <c r="J449" s="92" t="n"/>
      <c r="K449" s="92" t="n"/>
      <c r="L449" s="92" t="n"/>
      <c r="M449" s="97" t="n"/>
      <c r="N449" s="92" t="n"/>
      <c r="O449" s="92" t="n"/>
      <c r="P449" s="92" t="n"/>
    </row>
    <row r="450" ht="32" customHeight="1">
      <c r="A450" s="91" t="n"/>
      <c r="B450" s="91" t="n"/>
      <c r="C450" s="91" t="n"/>
      <c r="D450" s="91" t="n"/>
      <c r="E450" s="91" t="n"/>
      <c r="F450" s="94" t="n"/>
      <c r="G450" s="94" t="n"/>
      <c r="H450" s="91" t="n"/>
      <c r="I450" s="91" t="n"/>
      <c r="J450" s="91" t="n"/>
      <c r="K450" s="91" t="n"/>
      <c r="L450" s="91" t="n"/>
      <c r="M450" s="95" t="n"/>
      <c r="N450" s="91" t="n"/>
      <c r="O450" s="91" t="n"/>
      <c r="P450" s="91" t="n"/>
    </row>
    <row r="451" ht="32" customHeight="1">
      <c r="A451" s="92" t="n"/>
      <c r="B451" s="92" t="n"/>
      <c r="C451" s="92" t="n"/>
      <c r="D451" s="92" t="n"/>
      <c r="E451" s="92" t="n"/>
      <c r="F451" s="96" t="n"/>
      <c r="G451" s="96" t="n"/>
      <c r="H451" s="92" t="n"/>
      <c r="I451" s="92" t="n"/>
      <c r="J451" s="92" t="n"/>
      <c r="K451" s="92" t="n"/>
      <c r="L451" s="92" t="n"/>
      <c r="M451" s="97" t="n"/>
      <c r="N451" s="92" t="n"/>
      <c r="O451" s="92" t="n"/>
      <c r="P451" s="92" t="n"/>
    </row>
    <row r="452" ht="32" customHeight="1">
      <c r="A452" s="91" t="n"/>
      <c r="B452" s="91" t="n"/>
      <c r="C452" s="91" t="n"/>
      <c r="D452" s="91" t="n"/>
      <c r="E452" s="91" t="n"/>
      <c r="F452" s="94" t="n"/>
      <c r="G452" s="94" t="n"/>
      <c r="H452" s="91" t="n"/>
      <c r="I452" s="91" t="n"/>
      <c r="J452" s="91" t="n"/>
      <c r="K452" s="91" t="n"/>
      <c r="L452" s="91" t="n"/>
      <c r="M452" s="95" t="n"/>
      <c r="N452" s="91" t="n"/>
      <c r="O452" s="91" t="n"/>
      <c r="P452" s="91" t="n"/>
    </row>
    <row r="453" ht="32" customHeight="1">
      <c r="A453" s="92" t="n"/>
      <c r="B453" s="92" t="n"/>
      <c r="C453" s="92" t="n"/>
      <c r="D453" s="92" t="n"/>
      <c r="E453" s="92" t="n"/>
      <c r="F453" s="96" t="n"/>
      <c r="G453" s="96" t="n"/>
      <c r="H453" s="92" t="n"/>
      <c r="I453" s="92" t="n"/>
      <c r="J453" s="92" t="n"/>
      <c r="K453" s="92" t="n"/>
      <c r="L453" s="92" t="n"/>
      <c r="M453" s="97" t="n"/>
      <c r="N453" s="92" t="n"/>
      <c r="O453" s="92" t="n"/>
      <c r="P453" s="92" t="n"/>
    </row>
    <row r="454" ht="32" customHeight="1">
      <c r="A454" s="91" t="n"/>
      <c r="B454" s="91" t="n"/>
      <c r="C454" s="91" t="n"/>
      <c r="D454" s="91" t="n"/>
      <c r="E454" s="91" t="n"/>
      <c r="F454" s="94" t="n"/>
      <c r="G454" s="94" t="n"/>
      <c r="H454" s="91" t="n"/>
      <c r="I454" s="91" t="n"/>
      <c r="J454" s="91" t="n"/>
      <c r="K454" s="91" t="n"/>
      <c r="L454" s="91" t="n"/>
      <c r="M454" s="95" t="n"/>
      <c r="N454" s="91" t="n"/>
      <c r="O454" s="91" t="n"/>
      <c r="P454" s="91" t="n"/>
    </row>
    <row r="455" ht="32" customHeight="1">
      <c r="A455" s="92" t="n"/>
      <c r="B455" s="92" t="n"/>
      <c r="C455" s="92" t="n"/>
      <c r="D455" s="92" t="n"/>
      <c r="E455" s="92" t="n"/>
      <c r="F455" s="96" t="n"/>
      <c r="G455" s="96" t="n"/>
      <c r="H455" s="92" t="n"/>
      <c r="I455" s="92" t="n"/>
      <c r="J455" s="92" t="n"/>
      <c r="K455" s="92" t="n"/>
      <c r="L455" s="92" t="n"/>
      <c r="M455" s="97" t="n"/>
      <c r="N455" s="92" t="n"/>
      <c r="O455" s="92" t="n"/>
      <c r="P455" s="92" t="n"/>
    </row>
    <row r="456" ht="32" customHeight="1">
      <c r="A456" s="91" t="n"/>
      <c r="B456" s="91" t="n"/>
      <c r="C456" s="91" t="n"/>
      <c r="D456" s="91" t="n"/>
      <c r="E456" s="91" t="n"/>
      <c r="F456" s="94" t="n"/>
      <c r="G456" s="94" t="n"/>
      <c r="H456" s="91" t="n"/>
      <c r="I456" s="91" t="n"/>
      <c r="J456" s="91" t="n"/>
      <c r="K456" s="91" t="n"/>
      <c r="L456" s="91" t="n"/>
      <c r="M456" s="95" t="n"/>
      <c r="N456" s="91" t="n"/>
      <c r="O456" s="91" t="n"/>
      <c r="P456" s="91" t="n"/>
    </row>
    <row r="457" ht="32" customHeight="1">
      <c r="A457" s="92" t="n"/>
      <c r="B457" s="92" t="n"/>
      <c r="C457" s="92" t="n"/>
      <c r="D457" s="92" t="n"/>
      <c r="E457" s="92" t="n"/>
      <c r="F457" s="96" t="n"/>
      <c r="G457" s="96" t="n"/>
      <c r="H457" s="92" t="n"/>
      <c r="I457" s="92" t="n"/>
      <c r="J457" s="92" t="n"/>
      <c r="K457" s="92" t="n"/>
      <c r="L457" s="92" t="n"/>
      <c r="M457" s="97" t="n"/>
      <c r="N457" s="92" t="n"/>
      <c r="O457" s="92" t="n"/>
      <c r="P457" s="92" t="n"/>
    </row>
    <row r="458" ht="32" customHeight="1">
      <c r="A458" s="91" t="n"/>
      <c r="B458" s="91" t="n"/>
      <c r="C458" s="91" t="n"/>
      <c r="D458" s="91" t="n"/>
      <c r="E458" s="91" t="n"/>
      <c r="F458" s="94" t="n"/>
      <c r="G458" s="94" t="n"/>
      <c r="H458" s="91" t="n"/>
      <c r="I458" s="91" t="n"/>
      <c r="J458" s="91" t="n"/>
      <c r="K458" s="91" t="n"/>
      <c r="L458" s="91" t="n"/>
      <c r="M458" s="95" t="n"/>
      <c r="N458" s="91" t="n"/>
      <c r="O458" s="91" t="n"/>
      <c r="P458" s="91" t="n"/>
    </row>
    <row r="459" ht="32" customHeight="1">
      <c r="A459" s="92" t="n"/>
      <c r="B459" s="92" t="n"/>
      <c r="C459" s="92" t="n"/>
      <c r="D459" s="92" t="n"/>
      <c r="E459" s="92" t="n"/>
      <c r="F459" s="96" t="n"/>
      <c r="G459" s="96" t="n"/>
      <c r="H459" s="92" t="n"/>
      <c r="I459" s="92" t="n"/>
      <c r="J459" s="92" t="n"/>
      <c r="K459" s="92" t="n"/>
      <c r="L459" s="92" t="n"/>
      <c r="M459" s="97" t="n"/>
      <c r="N459" s="92" t="n"/>
      <c r="O459" s="92" t="n"/>
      <c r="P459" s="92" t="n"/>
    </row>
    <row r="460" ht="32" customHeight="1">
      <c r="A460" s="91" t="n"/>
      <c r="B460" s="91" t="n"/>
      <c r="C460" s="91" t="n"/>
      <c r="D460" s="91" t="n"/>
      <c r="E460" s="91" t="n"/>
      <c r="F460" s="94" t="n"/>
      <c r="G460" s="94" t="n"/>
      <c r="H460" s="91" t="n"/>
      <c r="I460" s="91" t="n"/>
      <c r="J460" s="91" t="n"/>
      <c r="K460" s="91" t="n"/>
      <c r="L460" s="91" t="n"/>
      <c r="M460" s="95" t="n"/>
      <c r="N460" s="91" t="n"/>
      <c r="O460" s="91" t="n"/>
      <c r="P460" s="91" t="n"/>
    </row>
    <row r="461" ht="32" customHeight="1">
      <c r="A461" s="92" t="n"/>
      <c r="B461" s="92" t="n"/>
      <c r="C461" s="92" t="n"/>
      <c r="D461" s="92" t="n"/>
      <c r="E461" s="92" t="n"/>
      <c r="F461" s="96" t="n"/>
      <c r="G461" s="96" t="n"/>
      <c r="H461" s="92" t="n"/>
      <c r="I461" s="92" t="n"/>
      <c r="J461" s="92" t="n"/>
      <c r="K461" s="92" t="n"/>
      <c r="L461" s="92" t="n"/>
      <c r="M461" s="97" t="n"/>
      <c r="N461" s="92" t="n"/>
      <c r="O461" s="92" t="n"/>
      <c r="P461" s="92" t="n"/>
    </row>
    <row r="462" ht="32" customHeight="1">
      <c r="A462" s="91" t="n"/>
      <c r="B462" s="91" t="n"/>
      <c r="C462" s="91" t="n"/>
      <c r="D462" s="91" t="n"/>
      <c r="E462" s="91" t="n"/>
      <c r="F462" s="94" t="n"/>
      <c r="G462" s="94" t="n"/>
      <c r="H462" s="91" t="n"/>
      <c r="I462" s="91" t="n"/>
      <c r="J462" s="91" t="n"/>
      <c r="K462" s="91" t="n"/>
      <c r="L462" s="91" t="n"/>
      <c r="M462" s="95" t="n"/>
      <c r="N462" s="91" t="n"/>
      <c r="O462" s="91" t="n"/>
      <c r="P462" s="91" t="n"/>
    </row>
    <row r="463" ht="32" customHeight="1">
      <c r="A463" s="92" t="n"/>
      <c r="B463" s="92" t="n"/>
      <c r="C463" s="92" t="n"/>
      <c r="D463" s="92" t="n"/>
      <c r="E463" s="92" t="n"/>
      <c r="F463" s="96" t="n"/>
      <c r="G463" s="96" t="n"/>
      <c r="H463" s="92" t="n"/>
      <c r="I463" s="92" t="n"/>
      <c r="J463" s="92" t="n"/>
      <c r="K463" s="92" t="n"/>
      <c r="L463" s="92" t="n"/>
      <c r="M463" s="97" t="n"/>
      <c r="N463" s="92" t="n"/>
      <c r="O463" s="92" t="n"/>
      <c r="P463" s="92" t="n"/>
    </row>
    <row r="464" ht="32" customHeight="1">
      <c r="A464" s="91" t="n"/>
      <c r="B464" s="91" t="n"/>
      <c r="C464" s="91" t="n"/>
      <c r="D464" s="91" t="n"/>
      <c r="E464" s="91" t="n"/>
      <c r="F464" s="94" t="n"/>
      <c r="G464" s="94" t="n"/>
      <c r="H464" s="91" t="n"/>
      <c r="I464" s="91" t="n"/>
      <c r="J464" s="91" t="n"/>
      <c r="K464" s="91" t="n"/>
      <c r="L464" s="91" t="n"/>
      <c r="M464" s="95" t="n"/>
      <c r="N464" s="91" t="n"/>
      <c r="O464" s="91" t="n"/>
      <c r="P464" s="91" t="n"/>
    </row>
    <row r="465" ht="32" customHeight="1">
      <c r="A465" s="92" t="n"/>
      <c r="B465" s="92" t="n"/>
      <c r="C465" s="92" t="n"/>
      <c r="D465" s="92" t="n"/>
      <c r="E465" s="92" t="n"/>
      <c r="F465" s="96" t="n"/>
      <c r="G465" s="96" t="n"/>
      <c r="H465" s="92" t="n"/>
      <c r="I465" s="92" t="n"/>
      <c r="J465" s="92" t="n"/>
      <c r="K465" s="92" t="n"/>
      <c r="L465" s="92" t="n"/>
      <c r="M465" s="97" t="n"/>
      <c r="N465" s="92" t="n"/>
      <c r="O465" s="92" t="n"/>
      <c r="P465" s="92" t="n"/>
    </row>
    <row r="466" ht="32" customHeight="1">
      <c r="A466" s="91" t="n"/>
      <c r="B466" s="91" t="n"/>
      <c r="C466" s="91" t="n"/>
      <c r="D466" s="91" t="n"/>
      <c r="E466" s="91" t="n"/>
      <c r="F466" s="94" t="n"/>
      <c r="G466" s="94" t="n"/>
      <c r="H466" s="91" t="n"/>
      <c r="I466" s="91" t="n"/>
      <c r="J466" s="91" t="n"/>
      <c r="K466" s="91" t="n"/>
      <c r="L466" s="91" t="n"/>
      <c r="M466" s="95" t="n"/>
      <c r="N466" s="91" t="n"/>
      <c r="O466" s="91" t="n"/>
      <c r="P466" s="91" t="n"/>
    </row>
    <row r="467" ht="32" customHeight="1">
      <c r="A467" s="92" t="n"/>
      <c r="B467" s="92" t="n"/>
      <c r="C467" s="92" t="n"/>
      <c r="D467" s="92" t="n"/>
      <c r="E467" s="92" t="n"/>
      <c r="F467" s="96" t="n"/>
      <c r="G467" s="96" t="n"/>
      <c r="H467" s="92" t="n"/>
      <c r="I467" s="92" t="n"/>
      <c r="J467" s="92" t="n"/>
      <c r="K467" s="92" t="n"/>
      <c r="L467" s="92" t="n"/>
      <c r="M467" s="97" t="n"/>
      <c r="N467" s="92" t="n"/>
      <c r="O467" s="92" t="n"/>
      <c r="P467" s="92" t="n"/>
    </row>
    <row r="468" ht="32" customHeight="1">
      <c r="A468" s="91" t="n"/>
      <c r="B468" s="91" t="n"/>
      <c r="C468" s="91" t="n"/>
      <c r="D468" s="91" t="n"/>
      <c r="E468" s="91" t="n"/>
      <c r="F468" s="94" t="n"/>
      <c r="G468" s="94" t="n"/>
      <c r="H468" s="91" t="n"/>
      <c r="I468" s="91" t="n"/>
      <c r="J468" s="91" t="n"/>
      <c r="K468" s="91" t="n"/>
      <c r="L468" s="91" t="n"/>
      <c r="M468" s="95" t="n"/>
      <c r="N468" s="91" t="n"/>
      <c r="O468" s="91" t="n"/>
      <c r="P468" s="91" t="n"/>
    </row>
    <row r="469" ht="32" customHeight="1">
      <c r="A469" s="92" t="n"/>
      <c r="B469" s="92" t="n"/>
      <c r="C469" s="92" t="n"/>
      <c r="D469" s="92" t="n"/>
      <c r="E469" s="92" t="n"/>
      <c r="F469" s="96" t="n"/>
      <c r="G469" s="96" t="n"/>
      <c r="H469" s="92" t="n"/>
      <c r="I469" s="92" t="n"/>
      <c r="J469" s="92" t="n"/>
      <c r="K469" s="92" t="n"/>
      <c r="L469" s="92" t="n"/>
      <c r="M469" s="97" t="n"/>
      <c r="N469" s="92" t="n"/>
      <c r="O469" s="92" t="n"/>
      <c r="P469" s="92" t="n"/>
    </row>
    <row r="470" ht="32" customHeight="1">
      <c r="A470" s="91" t="n"/>
      <c r="B470" s="91" t="n"/>
      <c r="C470" s="91" t="n"/>
      <c r="D470" s="91" t="n"/>
      <c r="E470" s="91" t="n"/>
      <c r="F470" s="94" t="n"/>
      <c r="G470" s="94" t="n"/>
      <c r="H470" s="91" t="n"/>
      <c r="I470" s="91" t="n"/>
      <c r="J470" s="91" t="n"/>
      <c r="K470" s="91" t="n"/>
      <c r="L470" s="91" t="n"/>
      <c r="M470" s="95" t="n"/>
      <c r="N470" s="91" t="n"/>
      <c r="O470" s="91" t="n"/>
      <c r="P470" s="91" t="n"/>
    </row>
    <row r="471" ht="32" customHeight="1">
      <c r="A471" s="92" t="n"/>
      <c r="B471" s="92" t="n"/>
      <c r="C471" s="92" t="n"/>
      <c r="D471" s="92" t="n"/>
      <c r="E471" s="92" t="n"/>
      <c r="F471" s="96" t="n"/>
      <c r="G471" s="96" t="n"/>
      <c r="H471" s="92" t="n"/>
      <c r="I471" s="92" t="n"/>
      <c r="J471" s="92" t="n"/>
      <c r="K471" s="92" t="n"/>
      <c r="L471" s="92" t="n"/>
      <c r="M471" s="97" t="n"/>
      <c r="N471" s="92" t="n"/>
      <c r="O471" s="92" t="n"/>
      <c r="P471" s="92" t="n"/>
    </row>
    <row r="472" ht="32" customHeight="1">
      <c r="A472" s="91" t="n"/>
      <c r="B472" s="91" t="n"/>
      <c r="C472" s="91" t="n"/>
      <c r="D472" s="91" t="n"/>
      <c r="E472" s="91" t="n"/>
      <c r="F472" s="94" t="n"/>
      <c r="G472" s="94" t="n"/>
      <c r="H472" s="91" t="n"/>
      <c r="I472" s="91" t="n"/>
      <c r="J472" s="91" t="n"/>
      <c r="K472" s="91" t="n"/>
      <c r="L472" s="91" t="n"/>
      <c r="M472" s="95" t="n"/>
      <c r="N472" s="91" t="n"/>
      <c r="O472" s="91" t="n"/>
      <c r="P472" s="91" t="n"/>
    </row>
    <row r="473" ht="32" customHeight="1">
      <c r="A473" s="92" t="n"/>
      <c r="B473" s="92" t="n"/>
      <c r="C473" s="92" t="n"/>
      <c r="D473" s="92" t="n"/>
      <c r="E473" s="92" t="n"/>
      <c r="F473" s="96" t="n"/>
      <c r="G473" s="96" t="n"/>
      <c r="H473" s="92" t="n"/>
      <c r="I473" s="92" t="n"/>
      <c r="J473" s="92" t="n"/>
      <c r="K473" s="92" t="n"/>
      <c r="L473" s="92" t="n"/>
      <c r="M473" s="97" t="n"/>
      <c r="N473" s="92" t="n"/>
      <c r="O473" s="92" t="n"/>
      <c r="P473" s="92" t="n"/>
    </row>
    <row r="474" ht="32" customHeight="1">
      <c r="A474" s="91" t="n"/>
      <c r="B474" s="91" t="n"/>
      <c r="C474" s="91" t="n"/>
      <c r="D474" s="91" t="n"/>
      <c r="E474" s="91" t="n"/>
      <c r="F474" s="94" t="n"/>
      <c r="G474" s="94" t="n"/>
      <c r="H474" s="91" t="n"/>
      <c r="I474" s="91" t="n"/>
      <c r="J474" s="91" t="n"/>
      <c r="K474" s="91" t="n"/>
      <c r="L474" s="91" t="n"/>
      <c r="M474" s="95" t="n"/>
      <c r="N474" s="91" t="n"/>
      <c r="O474" s="91" t="n"/>
      <c r="P474" s="91" t="n"/>
    </row>
    <row r="475" ht="32" customHeight="1">
      <c r="A475" s="92" t="n"/>
      <c r="B475" s="92" t="n"/>
      <c r="C475" s="92" t="n"/>
      <c r="D475" s="92" t="n"/>
      <c r="E475" s="92" t="n"/>
      <c r="F475" s="96" t="n"/>
      <c r="G475" s="96" t="n"/>
      <c r="H475" s="92" t="n"/>
      <c r="I475" s="92" t="n"/>
      <c r="J475" s="92" t="n"/>
      <c r="K475" s="92" t="n"/>
      <c r="L475" s="92" t="n"/>
      <c r="M475" s="97" t="n"/>
      <c r="N475" s="92" t="n"/>
      <c r="O475" s="92" t="n"/>
      <c r="P475" s="92" t="n"/>
    </row>
    <row r="476" ht="32" customHeight="1">
      <c r="A476" s="91" t="n"/>
      <c r="B476" s="91" t="n"/>
      <c r="C476" s="91" t="n"/>
      <c r="D476" s="91" t="n"/>
      <c r="E476" s="91" t="n"/>
      <c r="F476" s="94" t="n"/>
      <c r="G476" s="94" t="n"/>
      <c r="H476" s="91" t="n"/>
      <c r="I476" s="91" t="n"/>
      <c r="J476" s="91" t="n"/>
      <c r="K476" s="91" t="n"/>
      <c r="L476" s="91" t="n"/>
      <c r="M476" s="95" t="n"/>
      <c r="N476" s="91" t="n"/>
      <c r="O476" s="91" t="n"/>
      <c r="P476" s="91" t="n"/>
    </row>
    <row r="477" ht="32" customHeight="1">
      <c r="A477" s="92" t="n"/>
      <c r="B477" s="92" t="n"/>
      <c r="C477" s="92" t="n"/>
      <c r="D477" s="92" t="n"/>
      <c r="E477" s="92" t="n"/>
      <c r="F477" s="96" t="n"/>
      <c r="G477" s="96" t="n"/>
      <c r="H477" s="92" t="n"/>
      <c r="I477" s="92" t="n"/>
      <c r="J477" s="92" t="n"/>
      <c r="K477" s="92" t="n"/>
      <c r="L477" s="92" t="n"/>
      <c r="M477" s="97" t="n"/>
      <c r="N477" s="92" t="n"/>
      <c r="O477" s="92" t="n"/>
      <c r="P477" s="92" t="n"/>
    </row>
    <row r="478" ht="32" customHeight="1">
      <c r="A478" s="91" t="n"/>
      <c r="B478" s="91" t="n"/>
      <c r="C478" s="91" t="n"/>
      <c r="D478" s="91" t="n"/>
      <c r="E478" s="91" t="n"/>
      <c r="F478" s="94" t="n"/>
      <c r="G478" s="94" t="n"/>
      <c r="H478" s="91" t="n"/>
      <c r="I478" s="91" t="n"/>
      <c r="J478" s="91" t="n"/>
      <c r="K478" s="91" t="n"/>
      <c r="L478" s="91" t="n"/>
      <c r="M478" s="95" t="n"/>
      <c r="N478" s="91" t="n"/>
      <c r="O478" s="91" t="n"/>
      <c r="P478" s="91" t="n"/>
    </row>
    <row r="479" ht="32" customHeight="1">
      <c r="A479" s="92" t="n"/>
      <c r="B479" s="92" t="n"/>
      <c r="C479" s="92" t="n"/>
      <c r="D479" s="92" t="n"/>
      <c r="E479" s="92" t="n"/>
      <c r="F479" s="96" t="n"/>
      <c r="G479" s="96" t="n"/>
      <c r="H479" s="92" t="n"/>
      <c r="I479" s="92" t="n"/>
      <c r="J479" s="92" t="n"/>
      <c r="K479" s="92" t="n"/>
      <c r="L479" s="92" t="n"/>
      <c r="M479" s="97" t="n"/>
      <c r="N479" s="92" t="n"/>
      <c r="O479" s="92" t="n"/>
      <c r="P479" s="92" t="n"/>
    </row>
    <row r="480" ht="32" customHeight="1">
      <c r="A480" s="91" t="n"/>
      <c r="B480" s="91" t="n"/>
      <c r="C480" s="91" t="n"/>
      <c r="D480" s="91" t="n"/>
      <c r="E480" s="91" t="n"/>
      <c r="F480" s="94" t="n"/>
      <c r="G480" s="94" t="n"/>
      <c r="H480" s="91" t="n"/>
      <c r="I480" s="91" t="n"/>
      <c r="J480" s="91" t="n"/>
      <c r="K480" s="91" t="n"/>
      <c r="L480" s="91" t="n"/>
      <c r="M480" s="95" t="n"/>
      <c r="N480" s="91" t="n"/>
      <c r="O480" s="91" t="n"/>
      <c r="P480" s="91" t="n"/>
    </row>
    <row r="481" ht="32" customHeight="1">
      <c r="A481" s="92" t="n"/>
      <c r="B481" s="92" t="n"/>
      <c r="C481" s="92" t="n"/>
      <c r="D481" s="92" t="n"/>
      <c r="E481" s="92" t="n"/>
      <c r="F481" s="96" t="n"/>
      <c r="G481" s="96" t="n"/>
      <c r="H481" s="92" t="n"/>
      <c r="I481" s="92" t="n"/>
      <c r="J481" s="92" t="n"/>
      <c r="K481" s="92" t="n"/>
      <c r="L481" s="92" t="n"/>
      <c r="M481" s="97" t="n"/>
      <c r="N481" s="92" t="n"/>
      <c r="O481" s="92" t="n"/>
      <c r="P481" s="92" t="n"/>
    </row>
    <row r="482" ht="32" customHeight="1">
      <c r="A482" s="91" t="n"/>
      <c r="B482" s="91" t="n"/>
      <c r="C482" s="91" t="n"/>
      <c r="D482" s="91" t="n"/>
      <c r="E482" s="91" t="n"/>
      <c r="F482" s="94" t="n"/>
      <c r="G482" s="94" t="n"/>
      <c r="H482" s="91" t="n"/>
      <c r="I482" s="91" t="n"/>
      <c r="J482" s="91" t="n"/>
      <c r="K482" s="91" t="n"/>
      <c r="L482" s="91" t="n"/>
      <c r="M482" s="95" t="n"/>
      <c r="N482" s="91" t="n"/>
      <c r="O482" s="91" t="n"/>
      <c r="P482" s="91" t="n"/>
    </row>
    <row r="483" ht="32" customHeight="1">
      <c r="A483" s="92" t="n"/>
      <c r="B483" s="92" t="n"/>
      <c r="C483" s="92" t="n"/>
      <c r="D483" s="92" t="n"/>
      <c r="E483" s="92" t="n"/>
      <c r="F483" s="96" t="n"/>
      <c r="G483" s="96" t="n"/>
      <c r="H483" s="92" t="n"/>
      <c r="I483" s="92" t="n"/>
      <c r="J483" s="92" t="n"/>
      <c r="K483" s="92" t="n"/>
      <c r="L483" s="92" t="n"/>
      <c r="M483" s="97" t="n"/>
      <c r="N483" s="92" t="n"/>
      <c r="O483" s="92" t="n"/>
      <c r="P483" s="92" t="n"/>
    </row>
    <row r="484" ht="32" customHeight="1">
      <c r="A484" s="91" t="n"/>
      <c r="B484" s="91" t="n"/>
      <c r="C484" s="91" t="n"/>
      <c r="D484" s="91" t="n"/>
      <c r="E484" s="91" t="n"/>
      <c r="F484" s="94" t="n"/>
      <c r="G484" s="94" t="n"/>
      <c r="H484" s="91" t="n"/>
      <c r="I484" s="91" t="n"/>
      <c r="J484" s="91" t="n"/>
      <c r="K484" s="91" t="n"/>
      <c r="L484" s="91" t="n"/>
      <c r="M484" s="95" t="n"/>
      <c r="N484" s="91" t="n"/>
      <c r="O484" s="91" t="n"/>
      <c r="P484" s="91" t="n"/>
    </row>
    <row r="485" ht="32" customHeight="1">
      <c r="A485" s="92" t="n"/>
      <c r="B485" s="92" t="n"/>
      <c r="C485" s="92" t="n"/>
      <c r="D485" s="92" t="n"/>
      <c r="E485" s="92" t="n"/>
      <c r="F485" s="96" t="n"/>
      <c r="G485" s="96" t="n"/>
      <c r="H485" s="92" t="n"/>
      <c r="I485" s="92" t="n"/>
      <c r="J485" s="92" t="n"/>
      <c r="K485" s="92" t="n"/>
      <c r="L485" s="92" t="n"/>
      <c r="M485" s="97" t="n"/>
      <c r="N485" s="92" t="n"/>
      <c r="O485" s="92" t="n"/>
      <c r="P485" s="92" t="n"/>
    </row>
    <row r="486" ht="32" customHeight="1">
      <c r="A486" s="91" t="n"/>
      <c r="B486" s="91" t="n"/>
      <c r="C486" s="91" t="n"/>
      <c r="D486" s="91" t="n"/>
      <c r="E486" s="91" t="n"/>
      <c r="F486" s="94" t="n"/>
      <c r="G486" s="94" t="n"/>
      <c r="H486" s="91" t="n"/>
      <c r="I486" s="91" t="n"/>
      <c r="J486" s="91" t="n"/>
      <c r="K486" s="91" t="n"/>
      <c r="L486" s="91" t="n"/>
      <c r="M486" s="95" t="n"/>
      <c r="N486" s="91" t="n"/>
      <c r="O486" s="91" t="n"/>
      <c r="P486" s="91" t="n"/>
    </row>
    <row r="487" ht="32" customHeight="1">
      <c r="A487" s="92" t="n"/>
      <c r="B487" s="92" t="n"/>
      <c r="C487" s="92" t="n"/>
      <c r="D487" s="92" t="n"/>
      <c r="E487" s="92" t="n"/>
      <c r="F487" s="96" t="n"/>
      <c r="G487" s="96" t="n"/>
      <c r="H487" s="92" t="n"/>
      <c r="I487" s="92" t="n"/>
      <c r="J487" s="92" t="n"/>
      <c r="K487" s="92" t="n"/>
      <c r="L487" s="92" t="n"/>
      <c r="M487" s="97" t="n"/>
      <c r="N487" s="92" t="n"/>
      <c r="O487" s="92" t="n"/>
      <c r="P487" s="92" t="n"/>
    </row>
    <row r="488" ht="32" customHeight="1">
      <c r="A488" s="91" t="n"/>
      <c r="B488" s="91" t="n"/>
      <c r="C488" s="91" t="n"/>
      <c r="D488" s="91" t="n"/>
      <c r="E488" s="91" t="n"/>
      <c r="F488" s="94" t="n"/>
      <c r="G488" s="94" t="n"/>
      <c r="H488" s="91" t="n"/>
      <c r="I488" s="91" t="n"/>
      <c r="J488" s="91" t="n"/>
      <c r="K488" s="91" t="n"/>
      <c r="L488" s="91" t="n"/>
      <c r="M488" s="95" t="n"/>
      <c r="N488" s="91" t="n"/>
      <c r="O488" s="91" t="n"/>
      <c r="P488" s="91" t="n"/>
    </row>
    <row r="489" ht="32" customHeight="1">
      <c r="A489" s="92" t="n"/>
      <c r="B489" s="92" t="n"/>
      <c r="C489" s="92" t="n"/>
      <c r="D489" s="92" t="n"/>
      <c r="E489" s="92" t="n"/>
      <c r="F489" s="96" t="n"/>
      <c r="G489" s="96" t="n"/>
      <c r="H489" s="92" t="n"/>
      <c r="I489" s="92" t="n"/>
      <c r="J489" s="92" t="n"/>
      <c r="K489" s="92" t="n"/>
      <c r="L489" s="92" t="n"/>
      <c r="M489" s="97" t="n"/>
      <c r="N489" s="92" t="n"/>
      <c r="O489" s="92" t="n"/>
      <c r="P489" s="92" t="n"/>
    </row>
    <row r="490" ht="32" customHeight="1">
      <c r="A490" s="91" t="n"/>
      <c r="B490" s="91" t="n"/>
      <c r="C490" s="91" t="n"/>
      <c r="D490" s="91" t="n"/>
      <c r="E490" s="91" t="n"/>
      <c r="F490" s="94" t="n"/>
      <c r="G490" s="94" t="n"/>
      <c r="H490" s="91" t="n"/>
      <c r="I490" s="91" t="n"/>
      <c r="J490" s="91" t="n"/>
      <c r="K490" s="91" t="n"/>
      <c r="L490" s="91" t="n"/>
      <c r="M490" s="95" t="n"/>
      <c r="N490" s="91" t="n"/>
      <c r="O490" s="91" t="n"/>
      <c r="P490" s="91" t="n"/>
    </row>
    <row r="491" ht="32" customHeight="1">
      <c r="A491" s="92" t="n"/>
      <c r="B491" s="92" t="n"/>
      <c r="C491" s="92" t="n"/>
      <c r="D491" s="92" t="n"/>
      <c r="E491" s="92" t="n"/>
      <c r="F491" s="96" t="n"/>
      <c r="G491" s="96" t="n"/>
      <c r="H491" s="92" t="n"/>
      <c r="I491" s="92" t="n"/>
      <c r="J491" s="92" t="n"/>
      <c r="K491" s="92" t="n"/>
      <c r="L491" s="92" t="n"/>
      <c r="M491" s="97" t="n"/>
      <c r="N491" s="92" t="n"/>
      <c r="O491" s="92" t="n"/>
      <c r="P491" s="92" t="n"/>
    </row>
    <row r="492" ht="32" customHeight="1">
      <c r="A492" s="91" t="n"/>
      <c r="B492" s="91" t="n"/>
      <c r="C492" s="91" t="n"/>
      <c r="D492" s="91" t="n"/>
      <c r="E492" s="91" t="n"/>
      <c r="F492" s="94" t="n"/>
      <c r="G492" s="94" t="n"/>
      <c r="H492" s="91" t="n"/>
      <c r="I492" s="91" t="n"/>
      <c r="J492" s="91" t="n"/>
      <c r="K492" s="91" t="n"/>
      <c r="L492" s="91" t="n"/>
      <c r="M492" s="95" t="n"/>
      <c r="N492" s="91" t="n"/>
      <c r="O492" s="91" t="n"/>
      <c r="P492" s="91" t="n"/>
    </row>
    <row r="493" ht="32" customHeight="1">
      <c r="A493" s="92" t="n"/>
      <c r="B493" s="92" t="n"/>
      <c r="C493" s="92" t="n"/>
      <c r="D493" s="92" t="n"/>
      <c r="E493" s="92" t="n"/>
      <c r="F493" s="96" t="n"/>
      <c r="G493" s="96" t="n"/>
      <c r="H493" s="92" t="n"/>
      <c r="I493" s="92" t="n"/>
      <c r="J493" s="92" t="n"/>
      <c r="K493" s="92" t="n"/>
      <c r="L493" s="92" t="n"/>
      <c r="M493" s="97" t="n"/>
      <c r="N493" s="92" t="n"/>
      <c r="O493" s="92" t="n"/>
      <c r="P493" s="92" t="n"/>
    </row>
    <row r="494" ht="32" customHeight="1">
      <c r="A494" s="91" t="n"/>
      <c r="B494" s="91" t="n"/>
      <c r="C494" s="91" t="n"/>
      <c r="D494" s="91" t="n"/>
      <c r="E494" s="91" t="n"/>
      <c r="F494" s="94" t="n"/>
      <c r="G494" s="94" t="n"/>
      <c r="H494" s="91" t="n"/>
      <c r="I494" s="91" t="n"/>
      <c r="J494" s="91" t="n"/>
      <c r="K494" s="91" t="n"/>
      <c r="L494" s="91" t="n"/>
      <c r="M494" s="95" t="n"/>
      <c r="N494" s="91" t="n"/>
      <c r="O494" s="91" t="n"/>
      <c r="P494" s="91" t="n"/>
    </row>
    <row r="495" ht="32" customHeight="1">
      <c r="A495" s="92" t="n"/>
      <c r="B495" s="92" t="n"/>
      <c r="C495" s="92" t="n"/>
      <c r="D495" s="92" t="n"/>
      <c r="E495" s="92" t="n"/>
      <c r="F495" s="96" t="n"/>
      <c r="G495" s="96" t="n"/>
      <c r="H495" s="92" t="n"/>
      <c r="I495" s="92" t="n"/>
      <c r="J495" s="92" t="n"/>
      <c r="K495" s="92" t="n"/>
      <c r="L495" s="92" t="n"/>
      <c r="M495" s="97" t="n"/>
      <c r="N495" s="92" t="n"/>
      <c r="O495" s="92" t="n"/>
      <c r="P495" s="92" t="n"/>
    </row>
    <row r="496" ht="32" customHeight="1">
      <c r="A496" s="91" t="n"/>
      <c r="B496" s="91" t="n"/>
      <c r="C496" s="91" t="n"/>
      <c r="D496" s="91" t="n"/>
      <c r="E496" s="91" t="n"/>
      <c r="F496" s="94" t="n"/>
      <c r="G496" s="94" t="n"/>
      <c r="H496" s="91" t="n"/>
      <c r="I496" s="91" t="n"/>
      <c r="J496" s="91" t="n"/>
      <c r="K496" s="91" t="n"/>
      <c r="L496" s="91" t="n"/>
      <c r="M496" s="95" t="n"/>
      <c r="N496" s="91" t="n"/>
      <c r="O496" s="91" t="n"/>
      <c r="P496" s="91" t="n"/>
    </row>
    <row r="497" ht="32" customHeight="1">
      <c r="A497" s="92" t="n"/>
      <c r="B497" s="92" t="n"/>
      <c r="C497" s="92" t="n"/>
      <c r="D497" s="92" t="n"/>
      <c r="E497" s="92" t="n"/>
      <c r="F497" s="96" t="n"/>
      <c r="G497" s="96" t="n"/>
      <c r="H497" s="92" t="n"/>
      <c r="I497" s="92" t="n"/>
      <c r="J497" s="92" t="n"/>
      <c r="K497" s="92" t="n"/>
      <c r="L497" s="92" t="n"/>
      <c r="M497" s="97" t="n"/>
      <c r="N497" s="92" t="n"/>
      <c r="O497" s="92" t="n"/>
      <c r="P497" s="92" t="n"/>
    </row>
    <row r="498" ht="32" customHeight="1">
      <c r="A498" s="91" t="n"/>
      <c r="B498" s="91" t="n"/>
      <c r="C498" s="91" t="n"/>
      <c r="D498" s="91" t="n"/>
      <c r="E498" s="91" t="n"/>
      <c r="F498" s="94" t="n"/>
      <c r="G498" s="94" t="n"/>
      <c r="H498" s="91" t="n"/>
      <c r="I498" s="91" t="n"/>
      <c r="J498" s="91" t="n"/>
      <c r="K498" s="91" t="n"/>
      <c r="L498" s="91" t="n"/>
      <c r="M498" s="95" t="n"/>
      <c r="N498" s="91" t="n"/>
      <c r="O498" s="91" t="n"/>
      <c r="P498" s="91" t="n"/>
    </row>
    <row r="499" ht="32" customHeight="1">
      <c r="A499" s="92" t="n"/>
      <c r="B499" s="92" t="n"/>
      <c r="C499" s="92" t="n"/>
      <c r="D499" s="92" t="n"/>
      <c r="E499" s="92" t="n"/>
      <c r="F499" s="96" t="n"/>
      <c r="G499" s="96" t="n"/>
      <c r="H499" s="92" t="n"/>
      <c r="I499" s="92" t="n"/>
      <c r="J499" s="92" t="n"/>
      <c r="K499" s="92" t="n"/>
      <c r="L499" s="92" t="n"/>
      <c r="M499" s="97" t="n"/>
      <c r="N499" s="92" t="n"/>
      <c r="O499" s="92" t="n"/>
      <c r="P499" s="92" t="n"/>
    </row>
    <row r="500" ht="32" customHeight="1">
      <c r="A500" s="91" t="n"/>
      <c r="B500" s="91" t="n"/>
      <c r="C500" s="91" t="n"/>
      <c r="D500" s="91" t="n"/>
      <c r="E500" s="91" t="n"/>
      <c r="F500" s="94" t="n"/>
      <c r="G500" s="94" t="n"/>
      <c r="H500" s="91" t="n"/>
      <c r="I500" s="91" t="n"/>
      <c r="J500" s="91" t="n"/>
      <c r="K500" s="91" t="n"/>
      <c r="L500" s="91" t="n"/>
      <c r="M500" s="95" t="n"/>
      <c r="N500" s="91" t="n"/>
      <c r="O500" s="91" t="n"/>
      <c r="P500" s="91" t="n"/>
    </row>
    <row r="501" ht="32" customHeight="1">
      <c r="A501" s="92" t="n"/>
      <c r="B501" s="92" t="n"/>
      <c r="C501" s="92" t="n"/>
      <c r="D501" s="92" t="n"/>
      <c r="E501" s="92" t="n"/>
      <c r="F501" s="96" t="n"/>
      <c r="G501" s="96" t="n"/>
      <c r="H501" s="92" t="n"/>
      <c r="I501" s="92" t="n"/>
      <c r="J501" s="92" t="n"/>
      <c r="K501" s="92" t="n"/>
      <c r="L501" s="92" t="n"/>
      <c r="M501" s="97" t="n"/>
      <c r="N501" s="92" t="n"/>
      <c r="O501" s="92" t="n"/>
      <c r="P501" s="92" t="n"/>
    </row>
    <row r="502" ht="32" customHeight="1">
      <c r="A502" s="91" t="n"/>
      <c r="B502" s="91" t="n"/>
      <c r="C502" s="91" t="n"/>
      <c r="D502" s="91" t="n"/>
      <c r="E502" s="91" t="n"/>
      <c r="F502" s="94" t="n"/>
      <c r="G502" s="94" t="n"/>
      <c r="H502" s="91" t="n"/>
      <c r="I502" s="91" t="n"/>
      <c r="J502" s="91" t="n"/>
      <c r="K502" s="91" t="n"/>
      <c r="L502" s="91" t="n"/>
      <c r="M502" s="95" t="n"/>
      <c r="N502" s="91" t="n"/>
      <c r="O502" s="91" t="n"/>
      <c r="P502" s="91" t="n"/>
    </row>
    <row r="503" ht="32" customHeight="1">
      <c r="A503" s="92" t="n"/>
      <c r="B503" s="92" t="n"/>
      <c r="C503" s="92" t="n"/>
      <c r="D503" s="92" t="n"/>
      <c r="E503" s="92" t="n"/>
      <c r="F503" s="96" t="n"/>
      <c r="G503" s="96" t="n"/>
      <c r="H503" s="92" t="n"/>
      <c r="I503" s="92" t="n"/>
      <c r="J503" s="92" t="n"/>
      <c r="K503" s="92" t="n"/>
      <c r="L503" s="92" t="n"/>
      <c r="M503" s="97" t="n"/>
      <c r="N503" s="92" t="n"/>
      <c r="O503" s="92" t="n"/>
      <c r="P503" s="92" t="n"/>
    </row>
    <row r="504" ht="32" customHeight="1">
      <c r="A504" s="91" t="n"/>
      <c r="B504" s="91" t="n"/>
      <c r="C504" s="91" t="n"/>
      <c r="D504" s="91" t="n"/>
      <c r="E504" s="91" t="n"/>
      <c r="F504" s="94" t="n"/>
      <c r="G504" s="94" t="n"/>
      <c r="H504" s="91" t="n"/>
      <c r="I504" s="91" t="n"/>
      <c r="J504" s="91" t="n"/>
      <c r="K504" s="91" t="n"/>
      <c r="L504" s="91" t="n"/>
      <c r="M504" s="95" t="n"/>
      <c r="N504" s="91" t="n"/>
      <c r="O504" s="91" t="n"/>
      <c r="P504" s="91" t="n"/>
    </row>
    <row r="505" ht="32" customHeight="1">
      <c r="A505" s="92" t="n"/>
      <c r="B505" s="92" t="n"/>
      <c r="C505" s="92" t="n"/>
      <c r="D505" s="92" t="n"/>
      <c r="E505" s="92" t="n"/>
      <c r="F505" s="96" t="n"/>
      <c r="G505" s="96" t="n"/>
      <c r="H505" s="92" t="n"/>
      <c r="I505" s="92" t="n"/>
      <c r="J505" s="92" t="n"/>
      <c r="K505" s="92" t="n"/>
      <c r="L505" s="92" t="n"/>
      <c r="M505" s="97" t="n"/>
      <c r="N505" s="92" t="n"/>
      <c r="O505" s="92" t="n"/>
      <c r="P505" s="92" t="n"/>
    </row>
    <row r="506" ht="32" customHeight="1">
      <c r="A506" s="91" t="n"/>
      <c r="B506" s="91" t="n"/>
      <c r="C506" s="91" t="n"/>
      <c r="D506" s="91" t="n"/>
      <c r="E506" s="91" t="n"/>
      <c r="F506" s="94" t="n"/>
      <c r="G506" s="94" t="n"/>
      <c r="H506" s="91" t="n"/>
      <c r="I506" s="91" t="n"/>
      <c r="J506" s="91" t="n"/>
      <c r="K506" s="91" t="n"/>
      <c r="L506" s="91" t="n"/>
      <c r="M506" s="95" t="n"/>
      <c r="N506" s="91" t="n"/>
      <c r="O506" s="91" t="n"/>
      <c r="P506" s="91" t="n"/>
    </row>
    <row r="507" ht="32" customHeight="1">
      <c r="A507" s="92" t="n"/>
      <c r="B507" s="92" t="n"/>
      <c r="C507" s="92" t="n"/>
      <c r="D507" s="92" t="n"/>
      <c r="E507" s="92" t="n"/>
      <c r="F507" s="96" t="n"/>
      <c r="G507" s="96" t="n"/>
      <c r="H507" s="92" t="n"/>
      <c r="I507" s="92" t="n"/>
      <c r="J507" s="92" t="n"/>
      <c r="K507" s="92" t="n"/>
      <c r="L507" s="92" t="n"/>
      <c r="M507" s="97" t="n"/>
      <c r="N507" s="92" t="n"/>
      <c r="O507" s="92" t="n"/>
      <c r="P507" s="92" t="n"/>
    </row>
    <row r="508" ht="32" customHeight="1">
      <c r="A508" s="91" t="n"/>
      <c r="B508" s="91" t="n"/>
      <c r="C508" s="91" t="n"/>
      <c r="D508" s="91" t="n"/>
      <c r="E508" s="91" t="n"/>
      <c r="F508" s="94" t="n"/>
      <c r="G508" s="94" t="n"/>
      <c r="H508" s="91" t="n"/>
      <c r="I508" s="91" t="n"/>
      <c r="J508" s="91" t="n"/>
      <c r="K508" s="91" t="n"/>
      <c r="L508" s="91" t="n"/>
      <c r="M508" s="95" t="n"/>
      <c r="N508" s="91" t="n"/>
      <c r="O508" s="91" t="n"/>
      <c r="P508" s="91" t="n"/>
    </row>
    <row r="509" ht="32" customHeight="1">
      <c r="A509" s="92" t="n"/>
      <c r="B509" s="92" t="n"/>
      <c r="C509" s="92" t="n"/>
      <c r="D509" s="92" t="n"/>
      <c r="E509" s="92" t="n"/>
      <c r="F509" s="96" t="n"/>
      <c r="G509" s="96" t="n"/>
      <c r="H509" s="92" t="n"/>
      <c r="I509" s="92" t="n"/>
      <c r="J509" s="92" t="n"/>
      <c r="K509" s="92" t="n"/>
      <c r="L509" s="92" t="n"/>
      <c r="M509" s="97" t="n"/>
      <c r="N509" s="92" t="n"/>
      <c r="O509" s="92" t="n"/>
      <c r="P509" s="92" t="n"/>
    </row>
    <row r="510" ht="32" customHeight="1">
      <c r="A510" s="91" t="n"/>
      <c r="B510" s="91" t="n"/>
      <c r="C510" s="91" t="n"/>
      <c r="D510" s="91" t="n"/>
      <c r="E510" s="91" t="n"/>
      <c r="F510" s="94" t="n"/>
      <c r="G510" s="94" t="n"/>
      <c r="H510" s="91" t="n"/>
      <c r="I510" s="91" t="n"/>
      <c r="J510" s="91" t="n"/>
      <c r="K510" s="91" t="n"/>
      <c r="L510" s="91" t="n"/>
      <c r="M510" s="95" t="n"/>
      <c r="N510" s="91" t="n"/>
      <c r="O510" s="91" t="n"/>
      <c r="P510" s="91" t="n"/>
    </row>
    <row r="511" ht="32" customHeight="1">
      <c r="A511" s="92" t="n"/>
      <c r="B511" s="92" t="n"/>
      <c r="C511" s="92" t="n"/>
      <c r="D511" s="92" t="n"/>
      <c r="E511" s="92" t="n"/>
      <c r="F511" s="96" t="n"/>
      <c r="G511" s="96" t="n"/>
      <c r="H511" s="92" t="n"/>
      <c r="I511" s="92" t="n"/>
      <c r="J511" s="92" t="n"/>
      <c r="K511" s="92" t="n"/>
      <c r="L511" s="92" t="n"/>
      <c r="M511" s="97" t="n"/>
      <c r="N511" s="92" t="n"/>
      <c r="O511" s="92" t="n"/>
      <c r="P511" s="92" t="n"/>
    </row>
    <row r="512" ht="32" customHeight="1">
      <c r="A512" s="91" t="n"/>
      <c r="B512" s="91" t="n"/>
      <c r="C512" s="91" t="n"/>
      <c r="D512" s="91" t="n"/>
      <c r="E512" s="91" t="n"/>
      <c r="F512" s="94" t="n"/>
      <c r="G512" s="94" t="n"/>
      <c r="H512" s="91" t="n"/>
      <c r="I512" s="91" t="n"/>
      <c r="J512" s="91" t="n"/>
      <c r="K512" s="91" t="n"/>
      <c r="L512" s="91" t="n"/>
      <c r="M512" s="95" t="n"/>
      <c r="N512" s="91" t="n"/>
      <c r="O512" s="91" t="n"/>
      <c r="P512" s="91" t="n"/>
    </row>
    <row r="513" ht="32" customHeight="1">
      <c r="A513" s="92" t="n"/>
      <c r="B513" s="92" t="n"/>
      <c r="C513" s="92" t="n"/>
      <c r="D513" s="92" t="n"/>
      <c r="E513" s="92" t="n"/>
      <c r="F513" s="96" t="n"/>
      <c r="G513" s="96" t="n"/>
      <c r="H513" s="92" t="n"/>
      <c r="I513" s="92" t="n"/>
      <c r="J513" s="92" t="n"/>
      <c r="K513" s="92" t="n"/>
      <c r="L513" s="92" t="n"/>
      <c r="M513" s="97" t="n"/>
      <c r="N513" s="92" t="n"/>
      <c r="O513" s="92" t="n"/>
      <c r="P513" s="92" t="n"/>
    </row>
    <row r="514" ht="32" customHeight="1">
      <c r="A514" s="91" t="n"/>
      <c r="B514" s="91" t="n"/>
      <c r="C514" s="91" t="n"/>
      <c r="D514" s="91" t="n"/>
      <c r="E514" s="91" t="n"/>
      <c r="F514" s="94" t="n"/>
      <c r="G514" s="94" t="n"/>
      <c r="H514" s="91" t="n"/>
      <c r="I514" s="91" t="n"/>
      <c r="J514" s="91" t="n"/>
      <c r="K514" s="91" t="n"/>
      <c r="L514" s="91" t="n"/>
      <c r="M514" s="95" t="n"/>
      <c r="N514" s="91" t="n"/>
      <c r="O514" s="91" t="n"/>
      <c r="P514" s="91" t="n"/>
    </row>
    <row r="515" ht="32" customHeight="1">
      <c r="A515" s="92" t="n"/>
      <c r="B515" s="92" t="n"/>
      <c r="C515" s="92" t="n"/>
      <c r="D515" s="92" t="n"/>
      <c r="E515" s="92" t="n"/>
      <c r="F515" s="96" t="n"/>
      <c r="G515" s="96" t="n"/>
      <c r="H515" s="92" t="n"/>
      <c r="I515" s="92" t="n"/>
      <c r="J515" s="92" t="n"/>
      <c r="K515" s="92" t="n"/>
      <c r="L515" s="92" t="n"/>
      <c r="M515" s="97" t="n"/>
      <c r="N515" s="92" t="n"/>
      <c r="O515" s="92" t="n"/>
      <c r="P515" s="92" t="n"/>
    </row>
    <row r="516" ht="32" customHeight="1">
      <c r="A516" s="91" t="n"/>
      <c r="B516" s="91" t="n"/>
      <c r="C516" s="91" t="n"/>
      <c r="D516" s="91" t="n"/>
      <c r="E516" s="91" t="n"/>
      <c r="F516" s="94" t="n"/>
      <c r="G516" s="94" t="n"/>
      <c r="H516" s="91" t="n"/>
      <c r="I516" s="91" t="n"/>
      <c r="J516" s="91" t="n"/>
      <c r="K516" s="91" t="n"/>
      <c r="L516" s="91" t="n"/>
      <c r="M516" s="95" t="n"/>
      <c r="N516" s="91" t="n"/>
      <c r="O516" s="91" t="n"/>
      <c r="P516" s="91" t="n"/>
    </row>
    <row r="517" ht="32" customHeight="1">
      <c r="A517" s="92" t="n"/>
      <c r="B517" s="92" t="n"/>
      <c r="C517" s="92" t="n"/>
      <c r="D517" s="92" t="n"/>
      <c r="E517" s="92" t="n"/>
      <c r="F517" s="96" t="n"/>
      <c r="G517" s="96" t="n"/>
      <c r="H517" s="92" t="n"/>
      <c r="I517" s="92" t="n"/>
      <c r="J517" s="92" t="n"/>
      <c r="K517" s="92" t="n"/>
      <c r="L517" s="92" t="n"/>
      <c r="M517" s="97" t="n"/>
      <c r="N517" s="92" t="n"/>
      <c r="O517" s="92" t="n"/>
      <c r="P517" s="92" t="n"/>
    </row>
    <row r="518" ht="32" customHeight="1">
      <c r="A518" s="91" t="n"/>
      <c r="B518" s="91" t="n"/>
      <c r="C518" s="91" t="n"/>
      <c r="D518" s="91" t="n"/>
      <c r="E518" s="91" t="n"/>
      <c r="F518" s="94" t="n"/>
      <c r="G518" s="94" t="n"/>
      <c r="H518" s="91" t="n"/>
      <c r="I518" s="91" t="n"/>
      <c r="J518" s="91" t="n"/>
      <c r="K518" s="91" t="n"/>
      <c r="L518" s="91" t="n"/>
      <c r="M518" s="95" t="n"/>
      <c r="N518" s="91" t="n"/>
      <c r="O518" s="91" t="n"/>
      <c r="P518" s="91" t="n"/>
    </row>
    <row r="519" ht="32" customHeight="1">
      <c r="A519" s="92" t="n"/>
      <c r="B519" s="92" t="n"/>
      <c r="C519" s="92" t="n"/>
      <c r="D519" s="92" t="n"/>
      <c r="E519" s="92" t="n"/>
      <c r="F519" s="96" t="n"/>
      <c r="G519" s="96" t="n"/>
      <c r="H519" s="92" t="n"/>
      <c r="I519" s="92" t="n"/>
      <c r="J519" s="92" t="n"/>
      <c r="K519" s="92" t="n"/>
      <c r="L519" s="92" t="n"/>
      <c r="M519" s="97" t="n"/>
      <c r="N519" s="92" t="n"/>
      <c r="O519" s="92" t="n"/>
      <c r="P519" s="92" t="n"/>
    </row>
    <row r="520" ht="32" customHeight="1">
      <c r="A520" s="91" t="n"/>
      <c r="B520" s="91" t="n"/>
      <c r="C520" s="91" t="n"/>
      <c r="D520" s="91" t="n"/>
      <c r="E520" s="91" t="n"/>
      <c r="F520" s="94" t="n"/>
      <c r="G520" s="94" t="n"/>
      <c r="H520" s="91" t="n"/>
      <c r="I520" s="91" t="n"/>
      <c r="J520" s="91" t="n"/>
      <c r="K520" s="91" t="n"/>
      <c r="L520" s="91" t="n"/>
      <c r="M520" s="95" t="n"/>
      <c r="N520" s="91" t="n"/>
      <c r="O520" s="91" t="n"/>
      <c r="P520" s="91" t="n"/>
    </row>
    <row r="521" ht="32" customHeight="1">
      <c r="A521" s="92" t="n"/>
      <c r="B521" s="92" t="n"/>
      <c r="C521" s="92" t="n"/>
      <c r="D521" s="92" t="n"/>
      <c r="E521" s="92" t="n"/>
      <c r="F521" s="96" t="n"/>
      <c r="G521" s="96" t="n"/>
      <c r="H521" s="92" t="n"/>
      <c r="I521" s="92" t="n"/>
      <c r="J521" s="92" t="n"/>
      <c r="K521" s="92" t="n"/>
      <c r="L521" s="92" t="n"/>
      <c r="M521" s="97" t="n"/>
      <c r="N521" s="92" t="n"/>
      <c r="O521" s="92" t="n"/>
      <c r="P521" s="92" t="n"/>
    </row>
    <row r="522" ht="32" customHeight="1">
      <c r="A522" s="91" t="n"/>
      <c r="B522" s="91" t="n"/>
      <c r="C522" s="91" t="n"/>
      <c r="D522" s="91" t="n"/>
      <c r="E522" s="91" t="n"/>
      <c r="F522" s="94" t="n"/>
      <c r="G522" s="94" t="n"/>
      <c r="H522" s="91" t="n"/>
      <c r="I522" s="91" t="n"/>
      <c r="J522" s="91" t="n"/>
      <c r="K522" s="91" t="n"/>
      <c r="L522" s="91" t="n"/>
      <c r="M522" s="95" t="n"/>
      <c r="N522" s="91" t="n"/>
      <c r="O522" s="91" t="n"/>
      <c r="P522" s="91" t="n"/>
    </row>
    <row r="523" ht="32" customHeight="1">
      <c r="A523" s="92" t="n"/>
      <c r="B523" s="92" t="n"/>
      <c r="C523" s="92" t="n"/>
      <c r="D523" s="92" t="n"/>
      <c r="E523" s="92" t="n"/>
      <c r="F523" s="96" t="n"/>
      <c r="G523" s="96" t="n"/>
      <c r="H523" s="92" t="n"/>
      <c r="I523" s="92" t="n"/>
      <c r="J523" s="92" t="n"/>
      <c r="K523" s="92" t="n"/>
      <c r="L523" s="92" t="n"/>
      <c r="M523" s="97" t="n"/>
      <c r="N523" s="92" t="n"/>
      <c r="O523" s="92" t="n"/>
      <c r="P523" s="92" t="n"/>
    </row>
    <row r="524" ht="32" customHeight="1">
      <c r="A524" s="91" t="n"/>
      <c r="B524" s="91" t="n"/>
      <c r="C524" s="91" t="n"/>
      <c r="D524" s="91" t="n"/>
      <c r="E524" s="91" t="n"/>
      <c r="F524" s="94" t="n"/>
      <c r="G524" s="94" t="n"/>
      <c r="H524" s="91" t="n"/>
      <c r="I524" s="91" t="n"/>
      <c r="J524" s="91" t="n"/>
      <c r="K524" s="91" t="n"/>
      <c r="L524" s="91" t="n"/>
      <c r="M524" s="95" t="n"/>
      <c r="N524" s="91" t="n"/>
      <c r="O524" s="91" t="n"/>
      <c r="P524" s="91" t="n"/>
    </row>
    <row r="525" ht="32" customHeight="1">
      <c r="A525" s="92" t="n"/>
      <c r="B525" s="92" t="n"/>
      <c r="C525" s="92" t="n"/>
      <c r="D525" s="92" t="n"/>
      <c r="E525" s="92" t="n"/>
      <c r="F525" s="96" t="n"/>
      <c r="G525" s="96" t="n"/>
      <c r="H525" s="92" t="n"/>
      <c r="I525" s="92" t="n"/>
      <c r="J525" s="92" t="n"/>
      <c r="K525" s="92" t="n"/>
      <c r="L525" s="92" t="n"/>
      <c r="M525" s="97" t="n"/>
      <c r="N525" s="92" t="n"/>
      <c r="O525" s="92" t="n"/>
      <c r="P525" s="92" t="n"/>
    </row>
    <row r="526" ht="32" customHeight="1">
      <c r="A526" s="91" t="n"/>
      <c r="B526" s="91" t="n"/>
      <c r="C526" s="91" t="n"/>
      <c r="D526" s="91" t="n"/>
      <c r="E526" s="91" t="n"/>
      <c r="F526" s="94" t="n"/>
      <c r="G526" s="94" t="n"/>
      <c r="H526" s="91" t="n"/>
      <c r="I526" s="91" t="n"/>
      <c r="J526" s="91" t="n"/>
      <c r="K526" s="91" t="n"/>
      <c r="L526" s="91" t="n"/>
      <c r="M526" s="95" t="n"/>
      <c r="N526" s="91" t="n"/>
      <c r="O526" s="91" t="n"/>
      <c r="P526" s="91" t="n"/>
    </row>
    <row r="527" ht="32" customHeight="1">
      <c r="A527" s="92" t="n"/>
      <c r="B527" s="92" t="n"/>
      <c r="C527" s="92" t="n"/>
      <c r="D527" s="92" t="n"/>
      <c r="E527" s="92" t="n"/>
      <c r="F527" s="96" t="n"/>
      <c r="G527" s="96" t="n"/>
      <c r="H527" s="92" t="n"/>
      <c r="I527" s="92" t="n"/>
      <c r="J527" s="92" t="n"/>
      <c r="K527" s="92" t="n"/>
      <c r="L527" s="92" t="n"/>
      <c r="M527" s="97" t="n"/>
      <c r="N527" s="92" t="n"/>
      <c r="O527" s="92" t="n"/>
      <c r="P527" s="92" t="n"/>
    </row>
    <row r="528" ht="32" customHeight="1">
      <c r="A528" s="91" t="n"/>
      <c r="B528" s="91" t="n"/>
      <c r="C528" s="91" t="n"/>
      <c r="D528" s="91" t="n"/>
      <c r="E528" s="91" t="n"/>
      <c r="F528" s="94" t="n"/>
      <c r="G528" s="94" t="n"/>
      <c r="H528" s="91" t="n"/>
      <c r="I528" s="91" t="n"/>
      <c r="J528" s="91" t="n"/>
      <c r="K528" s="91" t="n"/>
      <c r="L528" s="91" t="n"/>
      <c r="M528" s="95" t="n"/>
      <c r="N528" s="91" t="n"/>
      <c r="O528" s="91" t="n"/>
      <c r="P528" s="91" t="n"/>
    </row>
    <row r="529" ht="32" customHeight="1">
      <c r="A529" s="92" t="n"/>
      <c r="B529" s="92" t="n"/>
      <c r="C529" s="92" t="n"/>
      <c r="D529" s="92" t="n"/>
      <c r="E529" s="92" t="n"/>
      <c r="F529" s="96" t="n"/>
      <c r="G529" s="96" t="n"/>
      <c r="H529" s="92" t="n"/>
      <c r="I529" s="92" t="n"/>
      <c r="J529" s="92" t="n"/>
      <c r="K529" s="92" t="n"/>
      <c r="L529" s="92" t="n"/>
      <c r="M529" s="97" t="n"/>
      <c r="N529" s="92" t="n"/>
      <c r="O529" s="92" t="n"/>
      <c r="P529" s="92" t="n"/>
    </row>
    <row r="530" ht="32" customHeight="1">
      <c r="A530" s="91" t="n"/>
      <c r="B530" s="91" t="n"/>
      <c r="C530" s="91" t="n"/>
      <c r="D530" s="91" t="n"/>
      <c r="E530" s="91" t="n"/>
      <c r="F530" s="94" t="n"/>
      <c r="G530" s="94" t="n"/>
      <c r="H530" s="91" t="n"/>
      <c r="I530" s="91" t="n"/>
      <c r="J530" s="91" t="n"/>
      <c r="K530" s="91" t="n"/>
      <c r="L530" s="91" t="n"/>
      <c r="M530" s="95" t="n"/>
      <c r="N530" s="91" t="n"/>
      <c r="O530" s="91" t="n"/>
      <c r="P530" s="91" t="n"/>
    </row>
    <row r="531" ht="32" customHeight="1">
      <c r="A531" s="92" t="n"/>
      <c r="B531" s="92" t="n"/>
      <c r="C531" s="92" t="n"/>
      <c r="D531" s="92" t="n"/>
      <c r="E531" s="92" t="n"/>
      <c r="F531" s="96" t="n"/>
      <c r="G531" s="96" t="n"/>
      <c r="H531" s="92" t="n"/>
      <c r="I531" s="92" t="n"/>
      <c r="J531" s="92" t="n"/>
      <c r="K531" s="92" t="n"/>
      <c r="L531" s="92" t="n"/>
      <c r="M531" s="97" t="n"/>
      <c r="N531" s="92" t="n"/>
      <c r="O531" s="92" t="n"/>
      <c r="P531" s="92" t="n"/>
    </row>
    <row r="532" ht="32" customHeight="1">
      <c r="A532" s="91" t="n"/>
      <c r="B532" s="91" t="n"/>
      <c r="C532" s="91" t="n"/>
      <c r="D532" s="91" t="n"/>
      <c r="E532" s="91" t="n"/>
      <c r="F532" s="94" t="n"/>
      <c r="G532" s="94" t="n"/>
      <c r="H532" s="91" t="n"/>
      <c r="I532" s="91" t="n"/>
      <c r="J532" s="91" t="n"/>
      <c r="K532" s="91" t="n"/>
      <c r="L532" s="91" t="n"/>
      <c r="M532" s="95" t="n"/>
      <c r="N532" s="91" t="n"/>
      <c r="O532" s="91" t="n"/>
      <c r="P532" s="91" t="n"/>
    </row>
    <row r="533" ht="32" customHeight="1">
      <c r="A533" s="92" t="n"/>
      <c r="B533" s="92" t="n"/>
      <c r="C533" s="92" t="n"/>
      <c r="D533" s="92" t="n"/>
      <c r="E533" s="92" t="n"/>
      <c r="F533" s="96" t="n"/>
      <c r="G533" s="96" t="n"/>
      <c r="H533" s="92" t="n"/>
      <c r="I533" s="92" t="n"/>
      <c r="J533" s="92" t="n"/>
      <c r="K533" s="92" t="n"/>
      <c r="L533" s="92" t="n"/>
      <c r="M533" s="97" t="n"/>
      <c r="N533" s="92" t="n"/>
      <c r="O533" s="92" t="n"/>
      <c r="P533" s="92" t="n"/>
    </row>
    <row r="534" ht="32" customHeight="1">
      <c r="A534" s="91" t="n"/>
      <c r="B534" s="91" t="n"/>
      <c r="C534" s="91" t="n"/>
      <c r="D534" s="91" t="n"/>
      <c r="E534" s="91" t="n"/>
      <c r="F534" s="94" t="n"/>
      <c r="G534" s="94" t="n"/>
      <c r="H534" s="91" t="n"/>
      <c r="I534" s="91" t="n"/>
      <c r="J534" s="91" t="n"/>
      <c r="K534" s="91" t="n"/>
      <c r="L534" s="91" t="n"/>
      <c r="M534" s="95" t="n"/>
      <c r="N534" s="91" t="n"/>
      <c r="O534" s="91" t="n"/>
      <c r="P534" s="91" t="n"/>
    </row>
    <row r="535" ht="32" customHeight="1">
      <c r="A535" s="92" t="n"/>
      <c r="B535" s="92" t="n"/>
      <c r="C535" s="92" t="n"/>
      <c r="D535" s="92" t="n"/>
      <c r="E535" s="92" t="n"/>
      <c r="F535" s="96" t="n"/>
      <c r="G535" s="96" t="n"/>
      <c r="H535" s="92" t="n"/>
      <c r="I535" s="92" t="n"/>
      <c r="J535" s="92" t="n"/>
      <c r="K535" s="92" t="n"/>
      <c r="L535" s="92" t="n"/>
      <c r="M535" s="97" t="n"/>
      <c r="N535" s="92" t="n"/>
      <c r="O535" s="92" t="n"/>
      <c r="P535" s="92" t="n"/>
    </row>
    <row r="536" ht="32" customHeight="1">
      <c r="A536" s="91" t="n"/>
      <c r="B536" s="91" t="n"/>
      <c r="C536" s="91" t="n"/>
      <c r="D536" s="91" t="n"/>
      <c r="E536" s="91" t="n"/>
      <c r="F536" s="94" t="n"/>
      <c r="G536" s="94" t="n"/>
      <c r="H536" s="91" t="n"/>
      <c r="I536" s="91" t="n"/>
      <c r="J536" s="91" t="n"/>
      <c r="K536" s="91" t="n"/>
      <c r="L536" s="91" t="n"/>
      <c r="M536" s="95" t="n"/>
      <c r="N536" s="91" t="n"/>
      <c r="O536" s="91" t="n"/>
      <c r="P536" s="91" t="n"/>
    </row>
    <row r="537" ht="32" customHeight="1">
      <c r="A537" s="92" t="n"/>
      <c r="B537" s="92" t="n"/>
      <c r="C537" s="92" t="n"/>
      <c r="D537" s="92" t="n"/>
      <c r="E537" s="92" t="n"/>
      <c r="F537" s="96" t="n"/>
      <c r="G537" s="96" t="n"/>
      <c r="H537" s="92" t="n"/>
      <c r="I537" s="92" t="n"/>
      <c r="J537" s="92" t="n"/>
      <c r="K537" s="92" t="n"/>
      <c r="L537" s="92" t="n"/>
      <c r="M537" s="97" t="n"/>
      <c r="N537" s="92" t="n"/>
      <c r="O537" s="92" t="n"/>
      <c r="P537" s="92" t="n"/>
    </row>
    <row r="538" ht="32" customHeight="1">
      <c r="A538" s="91" t="n"/>
      <c r="B538" s="91" t="n"/>
      <c r="C538" s="91" t="n"/>
      <c r="D538" s="91" t="n"/>
      <c r="E538" s="91" t="n"/>
      <c r="F538" s="94" t="n"/>
      <c r="G538" s="94" t="n"/>
      <c r="H538" s="91" t="n"/>
      <c r="I538" s="91" t="n"/>
      <c r="J538" s="91" t="n"/>
      <c r="K538" s="91" t="n"/>
      <c r="L538" s="91" t="n"/>
      <c r="M538" s="95" t="n"/>
      <c r="N538" s="91" t="n"/>
      <c r="O538" s="91" t="n"/>
      <c r="P538" s="91" t="n"/>
    </row>
    <row r="539" ht="32" customHeight="1">
      <c r="A539" s="92" t="n"/>
      <c r="B539" s="92" t="n"/>
      <c r="C539" s="92" t="n"/>
      <c r="D539" s="92" t="n"/>
      <c r="E539" s="92" t="n"/>
      <c r="F539" s="96" t="n"/>
      <c r="G539" s="96" t="n"/>
      <c r="H539" s="92" t="n"/>
      <c r="I539" s="92" t="n"/>
      <c r="J539" s="92" t="n"/>
      <c r="K539" s="92" t="n"/>
      <c r="L539" s="92" t="n"/>
      <c r="M539" s="97" t="n"/>
      <c r="N539" s="92" t="n"/>
      <c r="O539" s="92" t="n"/>
      <c r="P539" s="92" t="n"/>
    </row>
    <row r="540" ht="32" customHeight="1">
      <c r="A540" s="91" t="n"/>
      <c r="B540" s="91" t="n"/>
      <c r="C540" s="91" t="n"/>
      <c r="D540" s="91" t="n"/>
      <c r="E540" s="91" t="n"/>
      <c r="F540" s="94" t="n"/>
      <c r="G540" s="94" t="n"/>
      <c r="H540" s="91" t="n"/>
      <c r="I540" s="91" t="n"/>
      <c r="J540" s="91" t="n"/>
      <c r="K540" s="91" t="n"/>
      <c r="L540" s="91" t="n"/>
      <c r="M540" s="95" t="n"/>
      <c r="N540" s="91" t="n"/>
      <c r="O540" s="91" t="n"/>
      <c r="P540" s="91" t="n"/>
    </row>
    <row r="541" ht="32" customHeight="1">
      <c r="A541" s="92" t="n"/>
      <c r="B541" s="92" t="n"/>
      <c r="C541" s="92" t="n"/>
      <c r="D541" s="92" t="n"/>
      <c r="E541" s="92" t="n"/>
      <c r="F541" s="96" t="n"/>
      <c r="G541" s="96" t="n"/>
      <c r="H541" s="92" t="n"/>
      <c r="I541" s="92" t="n"/>
      <c r="J541" s="92" t="n"/>
      <c r="K541" s="92" t="n"/>
      <c r="L541" s="92" t="n"/>
      <c r="M541" s="97" t="n"/>
      <c r="N541" s="92" t="n"/>
      <c r="O541" s="92" t="n"/>
      <c r="P541" s="92" t="n"/>
    </row>
    <row r="542" ht="32" customHeight="1">
      <c r="A542" s="91" t="n"/>
      <c r="B542" s="91" t="n"/>
      <c r="C542" s="91" t="n"/>
      <c r="D542" s="91" t="n"/>
      <c r="E542" s="91" t="n"/>
      <c r="F542" s="94" t="n"/>
      <c r="G542" s="94" t="n"/>
      <c r="H542" s="91" t="n"/>
      <c r="I542" s="91" t="n"/>
      <c r="J542" s="91" t="n"/>
      <c r="K542" s="91" t="n"/>
      <c r="L542" s="91" t="n"/>
      <c r="M542" s="95" t="n"/>
      <c r="N542" s="91" t="n"/>
      <c r="O542" s="91" t="n"/>
      <c r="P542" s="91" t="n"/>
    </row>
    <row r="543" ht="32" customHeight="1">
      <c r="A543" s="92" t="n"/>
      <c r="B543" s="92" t="n"/>
      <c r="C543" s="92" t="n"/>
      <c r="D543" s="92" t="n"/>
      <c r="E543" s="92" t="n"/>
      <c r="F543" s="96" t="n"/>
      <c r="G543" s="96" t="n"/>
      <c r="H543" s="92" t="n"/>
      <c r="I543" s="92" t="n"/>
      <c r="J543" s="92" t="n"/>
      <c r="K543" s="92" t="n"/>
      <c r="L543" s="92" t="n"/>
      <c r="M543" s="97" t="n"/>
      <c r="N543" s="92" t="n"/>
      <c r="O543" s="92" t="n"/>
      <c r="P543" s="92" t="n"/>
    </row>
    <row r="544" ht="32" customHeight="1">
      <c r="A544" s="91" t="n"/>
      <c r="B544" s="91" t="n"/>
      <c r="C544" s="91" t="n"/>
      <c r="D544" s="91" t="n"/>
      <c r="E544" s="91" t="n"/>
      <c r="F544" s="94" t="n"/>
      <c r="G544" s="94" t="n"/>
      <c r="H544" s="91" t="n"/>
      <c r="I544" s="91" t="n"/>
      <c r="J544" s="91" t="n"/>
      <c r="K544" s="91" t="n"/>
      <c r="L544" s="91" t="n"/>
      <c r="M544" s="95" t="n"/>
      <c r="N544" s="91" t="n"/>
      <c r="O544" s="91" t="n"/>
      <c r="P544" s="91" t="n"/>
    </row>
    <row r="545" ht="32" customHeight="1">
      <c r="A545" s="92" t="n"/>
      <c r="B545" s="92" t="n"/>
      <c r="C545" s="92" t="n"/>
      <c r="D545" s="92" t="n"/>
      <c r="E545" s="92" t="n"/>
      <c r="F545" s="96" t="n"/>
      <c r="G545" s="96" t="n"/>
      <c r="H545" s="92" t="n"/>
      <c r="I545" s="92" t="n"/>
      <c r="J545" s="92" t="n"/>
      <c r="K545" s="92" t="n"/>
      <c r="L545" s="92" t="n"/>
      <c r="M545" s="97" t="n"/>
      <c r="N545" s="92" t="n"/>
      <c r="O545" s="92" t="n"/>
      <c r="P545" s="92" t="n"/>
    </row>
    <row r="546" ht="32" customHeight="1">
      <c r="A546" s="91" t="n"/>
      <c r="B546" s="91" t="n"/>
      <c r="C546" s="91" t="n"/>
      <c r="D546" s="91" t="n"/>
      <c r="E546" s="91" t="n"/>
      <c r="F546" s="94" t="n"/>
      <c r="G546" s="94" t="n"/>
      <c r="H546" s="91" t="n"/>
      <c r="I546" s="91" t="n"/>
      <c r="J546" s="91" t="n"/>
      <c r="K546" s="91" t="n"/>
      <c r="L546" s="91" t="n"/>
      <c r="M546" s="95" t="n"/>
      <c r="N546" s="91" t="n"/>
      <c r="O546" s="91" t="n"/>
      <c r="P546" s="91" t="n"/>
    </row>
    <row r="547" ht="32" customHeight="1">
      <c r="A547" s="92" t="n"/>
      <c r="B547" s="92" t="n"/>
      <c r="C547" s="92" t="n"/>
      <c r="D547" s="92" t="n"/>
      <c r="E547" s="92" t="n"/>
      <c r="F547" s="96" t="n"/>
      <c r="G547" s="96" t="n"/>
      <c r="H547" s="92" t="n"/>
      <c r="I547" s="92" t="n"/>
      <c r="J547" s="92" t="n"/>
      <c r="K547" s="92" t="n"/>
      <c r="L547" s="92" t="n"/>
      <c r="M547" s="97" t="n"/>
      <c r="N547" s="92" t="n"/>
      <c r="O547" s="92" t="n"/>
      <c r="P547" s="92" t="n"/>
    </row>
    <row r="548" ht="32" customHeight="1">
      <c r="A548" s="91" t="n"/>
      <c r="B548" s="91" t="n"/>
      <c r="C548" s="91" t="n"/>
      <c r="D548" s="91" t="n"/>
      <c r="E548" s="91" t="n"/>
      <c r="F548" s="94" t="n"/>
      <c r="G548" s="94" t="n"/>
      <c r="H548" s="91" t="n"/>
      <c r="I548" s="91" t="n"/>
      <c r="J548" s="91" t="n"/>
      <c r="K548" s="91" t="n"/>
      <c r="L548" s="91" t="n"/>
      <c r="M548" s="95" t="n"/>
      <c r="N548" s="91" t="n"/>
      <c r="O548" s="91" t="n"/>
      <c r="P548" s="91" t="n"/>
    </row>
    <row r="549" ht="32" customHeight="1">
      <c r="A549" s="92" t="n"/>
      <c r="B549" s="92" t="n"/>
      <c r="C549" s="92" t="n"/>
      <c r="D549" s="92" t="n"/>
      <c r="E549" s="92" t="n"/>
      <c r="F549" s="96" t="n"/>
      <c r="G549" s="96" t="n"/>
      <c r="H549" s="92" t="n"/>
      <c r="I549" s="92" t="n"/>
      <c r="J549" s="92" t="n"/>
      <c r="K549" s="92" t="n"/>
      <c r="L549" s="92" t="n"/>
      <c r="M549" s="97" t="n"/>
      <c r="N549" s="92" t="n"/>
      <c r="O549" s="92" t="n"/>
      <c r="P549" s="92" t="n"/>
    </row>
    <row r="550" ht="32" customHeight="1">
      <c r="A550" s="91" t="n"/>
      <c r="B550" s="91" t="n"/>
      <c r="C550" s="91" t="n"/>
      <c r="D550" s="91" t="n"/>
      <c r="E550" s="91" t="n"/>
      <c r="F550" s="94" t="n"/>
      <c r="G550" s="94" t="n"/>
      <c r="H550" s="91" t="n"/>
      <c r="I550" s="91" t="n"/>
      <c r="J550" s="91" t="n"/>
      <c r="K550" s="91" t="n"/>
      <c r="L550" s="91" t="n"/>
      <c r="M550" s="95" t="n"/>
      <c r="N550" s="91" t="n"/>
      <c r="O550" s="91" t="n"/>
      <c r="P550" s="91" t="n"/>
    </row>
    <row r="551" ht="32" customHeight="1">
      <c r="A551" s="92" t="n"/>
      <c r="B551" s="92" t="n"/>
      <c r="C551" s="92" t="n"/>
      <c r="D551" s="92" t="n"/>
      <c r="E551" s="92" t="n"/>
      <c r="F551" s="96" t="n"/>
      <c r="G551" s="96" t="n"/>
      <c r="H551" s="92" t="n"/>
      <c r="I551" s="92" t="n"/>
      <c r="J551" s="92" t="n"/>
      <c r="K551" s="92" t="n"/>
      <c r="L551" s="92" t="n"/>
      <c r="M551" s="97" t="n"/>
      <c r="N551" s="92" t="n"/>
      <c r="O551" s="92" t="n"/>
      <c r="P551" s="92" t="n"/>
    </row>
    <row r="552" ht="32" customHeight="1">
      <c r="A552" s="91" t="n"/>
      <c r="B552" s="91" t="n"/>
      <c r="C552" s="91" t="n"/>
      <c r="D552" s="91" t="n"/>
      <c r="E552" s="91" t="n"/>
      <c r="F552" s="94" t="n"/>
      <c r="G552" s="94" t="n"/>
      <c r="H552" s="91" t="n"/>
      <c r="I552" s="91" t="n"/>
      <c r="J552" s="91" t="n"/>
      <c r="K552" s="91" t="n"/>
      <c r="L552" s="91" t="n"/>
      <c r="M552" s="95" t="n"/>
      <c r="N552" s="91" t="n"/>
      <c r="O552" s="91" t="n"/>
      <c r="P552" s="91" t="n"/>
    </row>
    <row r="553" ht="32" customHeight="1">
      <c r="A553" s="92" t="n"/>
      <c r="B553" s="92" t="n"/>
      <c r="C553" s="92" t="n"/>
      <c r="D553" s="92" t="n"/>
      <c r="E553" s="92" t="n"/>
      <c r="F553" s="96" t="n"/>
      <c r="G553" s="96" t="n"/>
      <c r="H553" s="92" t="n"/>
      <c r="I553" s="92" t="n"/>
      <c r="J553" s="92" t="n"/>
      <c r="K553" s="92" t="n"/>
      <c r="L553" s="92" t="n"/>
      <c r="M553" s="97" t="n"/>
      <c r="N553" s="92" t="n"/>
      <c r="O553" s="92" t="n"/>
      <c r="P553" s="92" t="n"/>
    </row>
    <row r="554" ht="32" customHeight="1">
      <c r="A554" s="91" t="n"/>
      <c r="B554" s="91" t="n"/>
      <c r="C554" s="91" t="n"/>
      <c r="D554" s="91" t="n"/>
      <c r="E554" s="91" t="n"/>
      <c r="F554" s="94" t="n"/>
      <c r="G554" s="94" t="n"/>
      <c r="H554" s="91" t="n"/>
      <c r="I554" s="91" t="n"/>
      <c r="J554" s="91" t="n"/>
      <c r="K554" s="91" t="n"/>
      <c r="L554" s="91" t="n"/>
      <c r="M554" s="95" t="n"/>
      <c r="N554" s="91" t="n"/>
      <c r="O554" s="91" t="n"/>
      <c r="P554" s="91" t="n"/>
    </row>
    <row r="555" ht="32" customHeight="1">
      <c r="A555" s="92" t="n"/>
      <c r="B555" s="92" t="n"/>
      <c r="C555" s="92" t="n"/>
      <c r="D555" s="92" t="n"/>
      <c r="E555" s="92" t="n"/>
      <c r="F555" s="96" t="n"/>
      <c r="G555" s="96" t="n"/>
      <c r="H555" s="92" t="n"/>
      <c r="I555" s="92" t="n"/>
      <c r="J555" s="92" t="n"/>
      <c r="K555" s="92" t="n"/>
      <c r="L555" s="92" t="n"/>
      <c r="M555" s="97" t="n"/>
      <c r="N555" s="92" t="n"/>
      <c r="O555" s="92" t="n"/>
      <c r="P555" s="92" t="n"/>
    </row>
    <row r="556" ht="32" customHeight="1">
      <c r="A556" s="91" t="n"/>
      <c r="B556" s="91" t="n"/>
      <c r="C556" s="91" t="n"/>
      <c r="D556" s="91" t="n"/>
      <c r="E556" s="91" t="n"/>
      <c r="F556" s="94" t="n"/>
      <c r="G556" s="94" t="n"/>
      <c r="H556" s="91" t="n"/>
      <c r="I556" s="91" t="n"/>
      <c r="J556" s="91" t="n"/>
      <c r="K556" s="91" t="n"/>
      <c r="L556" s="91" t="n"/>
      <c r="M556" s="95" t="n"/>
      <c r="N556" s="91" t="n"/>
      <c r="O556" s="91" t="n"/>
      <c r="P556" s="91" t="n"/>
    </row>
    <row r="557" ht="32" customHeight="1">
      <c r="A557" s="92" t="n"/>
      <c r="B557" s="92" t="n"/>
      <c r="C557" s="92" t="n"/>
      <c r="D557" s="92" t="n"/>
      <c r="E557" s="92" t="n"/>
      <c r="F557" s="96" t="n"/>
      <c r="G557" s="96" t="n"/>
      <c r="H557" s="92" t="n"/>
      <c r="I557" s="92" t="n"/>
      <c r="J557" s="92" t="n"/>
      <c r="K557" s="92" t="n"/>
      <c r="L557" s="92" t="n"/>
      <c r="M557" s="97" t="n"/>
      <c r="N557" s="92" t="n"/>
      <c r="O557" s="92" t="n"/>
      <c r="P557" s="92" t="n"/>
    </row>
    <row r="558" ht="32" customHeight="1">
      <c r="A558" s="91" t="n"/>
      <c r="B558" s="91" t="n"/>
      <c r="C558" s="91" t="n"/>
      <c r="D558" s="91" t="n"/>
      <c r="E558" s="91" t="n"/>
      <c r="F558" s="94" t="n"/>
      <c r="G558" s="94" t="n"/>
      <c r="H558" s="91" t="n"/>
      <c r="I558" s="91" t="n"/>
      <c r="J558" s="91" t="n"/>
      <c r="K558" s="91" t="n"/>
      <c r="L558" s="91" t="n"/>
      <c r="M558" s="95" t="n"/>
      <c r="N558" s="91" t="n"/>
      <c r="O558" s="91" t="n"/>
      <c r="P558" s="91" t="n"/>
    </row>
    <row r="559" ht="32" customHeight="1">
      <c r="A559" s="92" t="n"/>
      <c r="B559" s="92" t="n"/>
      <c r="C559" s="92" t="n"/>
      <c r="D559" s="92" t="n"/>
      <c r="E559" s="92" t="n"/>
      <c r="F559" s="96" t="n"/>
      <c r="G559" s="96" t="n"/>
      <c r="H559" s="92" t="n"/>
      <c r="I559" s="92" t="n"/>
      <c r="J559" s="92" t="n"/>
      <c r="K559" s="92" t="n"/>
      <c r="L559" s="92" t="n"/>
      <c r="M559" s="97" t="n"/>
      <c r="N559" s="92" t="n"/>
      <c r="O559" s="92" t="n"/>
      <c r="P559" s="92" t="n"/>
    </row>
    <row r="560" ht="32" customHeight="1">
      <c r="A560" s="91" t="n"/>
      <c r="B560" s="91" t="n"/>
      <c r="C560" s="91" t="n"/>
      <c r="D560" s="91" t="n"/>
      <c r="E560" s="91" t="n"/>
      <c r="F560" s="94" t="n"/>
      <c r="G560" s="94" t="n"/>
      <c r="H560" s="91" t="n"/>
      <c r="I560" s="91" t="n"/>
      <c r="J560" s="91" t="n"/>
      <c r="K560" s="91" t="n"/>
      <c r="L560" s="91" t="n"/>
      <c r="M560" s="95" t="n"/>
      <c r="N560" s="91" t="n"/>
      <c r="O560" s="91" t="n"/>
      <c r="P560" s="91" t="n"/>
    </row>
    <row r="561" ht="32" customHeight="1">
      <c r="A561" s="92" t="n"/>
      <c r="B561" s="92" t="n"/>
      <c r="C561" s="92" t="n"/>
      <c r="D561" s="92" t="n"/>
      <c r="E561" s="92" t="n"/>
      <c r="F561" s="96" t="n"/>
      <c r="G561" s="96" t="n"/>
      <c r="H561" s="92" t="n"/>
      <c r="I561" s="92" t="n"/>
      <c r="J561" s="92" t="n"/>
      <c r="K561" s="92" t="n"/>
      <c r="L561" s="92" t="n"/>
      <c r="M561" s="97" t="n"/>
      <c r="N561" s="92" t="n"/>
      <c r="O561" s="92" t="n"/>
      <c r="P561" s="92" t="n"/>
    </row>
    <row r="562" ht="32" customHeight="1">
      <c r="A562" s="91" t="n"/>
      <c r="B562" s="91" t="n"/>
      <c r="C562" s="91" t="n"/>
      <c r="D562" s="91" t="n"/>
      <c r="E562" s="91" t="n"/>
      <c r="F562" s="94" t="n"/>
      <c r="G562" s="94" t="n"/>
      <c r="H562" s="91" t="n"/>
      <c r="I562" s="91" t="n"/>
      <c r="J562" s="91" t="n"/>
      <c r="K562" s="91" t="n"/>
      <c r="L562" s="91" t="n"/>
      <c r="M562" s="95" t="n"/>
      <c r="N562" s="91" t="n"/>
      <c r="O562" s="91" t="n"/>
      <c r="P562" s="91" t="n"/>
    </row>
    <row r="563" ht="32" customHeight="1">
      <c r="A563" s="92" t="n"/>
      <c r="B563" s="92" t="n"/>
      <c r="C563" s="92" t="n"/>
      <c r="D563" s="92" t="n"/>
      <c r="E563" s="92" t="n"/>
      <c r="F563" s="96" t="n"/>
      <c r="G563" s="96" t="n"/>
      <c r="H563" s="92" t="n"/>
      <c r="I563" s="92" t="n"/>
      <c r="J563" s="92" t="n"/>
      <c r="K563" s="92" t="n"/>
      <c r="L563" s="92" t="n"/>
      <c r="M563" s="97" t="n"/>
      <c r="N563" s="92" t="n"/>
      <c r="O563" s="92" t="n"/>
      <c r="P563" s="92" t="n"/>
    </row>
    <row r="564" ht="32" customHeight="1">
      <c r="A564" s="91" t="n"/>
      <c r="B564" s="91" t="n"/>
      <c r="C564" s="91" t="n"/>
      <c r="D564" s="91" t="n"/>
      <c r="E564" s="91" t="n"/>
      <c r="F564" s="94" t="n"/>
      <c r="G564" s="94" t="n"/>
      <c r="H564" s="91" t="n"/>
      <c r="I564" s="91" t="n"/>
      <c r="J564" s="91" t="n"/>
      <c r="K564" s="91" t="n"/>
      <c r="L564" s="91" t="n"/>
      <c r="M564" s="95" t="n"/>
      <c r="N564" s="91" t="n"/>
      <c r="O564" s="91" t="n"/>
      <c r="P564" s="91" t="n"/>
    </row>
    <row r="565" ht="32" customHeight="1">
      <c r="A565" s="92" t="n"/>
      <c r="B565" s="92" t="n"/>
      <c r="C565" s="92" t="n"/>
      <c r="D565" s="92" t="n"/>
      <c r="E565" s="92" t="n"/>
      <c r="F565" s="96" t="n"/>
      <c r="G565" s="96" t="n"/>
      <c r="H565" s="92" t="n"/>
      <c r="I565" s="92" t="n"/>
      <c r="J565" s="92" t="n"/>
      <c r="K565" s="92" t="n"/>
      <c r="L565" s="92" t="n"/>
      <c r="M565" s="97" t="n"/>
      <c r="N565" s="92" t="n"/>
      <c r="O565" s="92" t="n"/>
      <c r="P565" s="92" t="n"/>
    </row>
    <row r="566" ht="32" customHeight="1">
      <c r="A566" s="91" t="n"/>
      <c r="B566" s="91" t="n"/>
      <c r="C566" s="91" t="n"/>
      <c r="D566" s="91" t="n"/>
      <c r="E566" s="91" t="n"/>
      <c r="F566" s="94" t="n"/>
      <c r="G566" s="94" t="n"/>
      <c r="H566" s="91" t="n"/>
      <c r="I566" s="91" t="n"/>
      <c r="J566" s="91" t="n"/>
      <c r="K566" s="91" t="n"/>
      <c r="L566" s="91" t="n"/>
      <c r="M566" s="95" t="n"/>
      <c r="N566" s="91" t="n"/>
      <c r="O566" s="91" t="n"/>
      <c r="P566" s="91" t="n"/>
    </row>
    <row r="567" ht="32" customHeight="1">
      <c r="A567" s="92" t="n"/>
      <c r="B567" s="92" t="n"/>
      <c r="C567" s="92" t="n"/>
      <c r="D567" s="92" t="n"/>
      <c r="E567" s="92" t="n"/>
      <c r="F567" s="96" t="n"/>
      <c r="G567" s="96" t="n"/>
      <c r="H567" s="92" t="n"/>
      <c r="I567" s="92" t="n"/>
      <c r="J567" s="92" t="n"/>
      <c r="K567" s="92" t="n"/>
      <c r="L567" s="92" t="n"/>
      <c r="M567" s="97" t="n"/>
      <c r="N567" s="92" t="n"/>
      <c r="O567" s="92" t="n"/>
      <c r="P567" s="92" t="n"/>
    </row>
    <row r="568" ht="32" customHeight="1">
      <c r="A568" s="91" t="n"/>
      <c r="B568" s="91" t="n"/>
      <c r="C568" s="91" t="n"/>
      <c r="D568" s="91" t="n"/>
      <c r="E568" s="91" t="n"/>
      <c r="F568" s="94" t="n"/>
      <c r="G568" s="94" t="n"/>
      <c r="H568" s="91" t="n"/>
      <c r="I568" s="91" t="n"/>
      <c r="J568" s="91" t="n"/>
      <c r="K568" s="91" t="n"/>
      <c r="L568" s="91" t="n"/>
      <c r="M568" s="95" t="n"/>
      <c r="N568" s="91" t="n"/>
      <c r="O568" s="91" t="n"/>
      <c r="P568" s="91" t="n"/>
    </row>
    <row r="569" ht="32" customHeight="1">
      <c r="A569" s="92" t="n"/>
      <c r="B569" s="92" t="n"/>
      <c r="C569" s="92" t="n"/>
      <c r="D569" s="92" t="n"/>
      <c r="E569" s="92" t="n"/>
      <c r="F569" s="96" t="n"/>
      <c r="G569" s="96" t="n"/>
      <c r="H569" s="92" t="n"/>
      <c r="I569" s="92" t="n"/>
      <c r="J569" s="92" t="n"/>
      <c r="K569" s="92" t="n"/>
      <c r="L569" s="92" t="n"/>
      <c r="M569" s="97" t="n"/>
      <c r="N569" s="92" t="n"/>
      <c r="O569" s="92" t="n"/>
      <c r="P569" s="92" t="n"/>
    </row>
    <row r="570" ht="32" customHeight="1">
      <c r="A570" s="91" t="n"/>
      <c r="B570" s="91" t="n"/>
      <c r="C570" s="91" t="n"/>
      <c r="D570" s="91" t="n"/>
      <c r="E570" s="91" t="n"/>
      <c r="F570" s="94" t="n"/>
      <c r="G570" s="94" t="n"/>
      <c r="H570" s="91" t="n"/>
      <c r="I570" s="91" t="n"/>
      <c r="J570" s="91" t="n"/>
      <c r="K570" s="91" t="n"/>
      <c r="L570" s="91" t="n"/>
      <c r="M570" s="95" t="n"/>
      <c r="N570" s="91" t="n"/>
      <c r="O570" s="91" t="n"/>
      <c r="P570" s="91" t="n"/>
    </row>
    <row r="571" ht="32" customHeight="1">
      <c r="A571" s="92" t="n"/>
      <c r="B571" s="92" t="n"/>
      <c r="C571" s="92" t="n"/>
      <c r="D571" s="92" t="n"/>
      <c r="E571" s="92" t="n"/>
      <c r="F571" s="96" t="n"/>
      <c r="G571" s="96" t="n"/>
      <c r="H571" s="92" t="n"/>
      <c r="I571" s="92" t="n"/>
      <c r="J571" s="92" t="n"/>
      <c r="K571" s="92" t="n"/>
      <c r="L571" s="92" t="n"/>
      <c r="M571" s="97" t="n"/>
      <c r="N571" s="92" t="n"/>
      <c r="O571" s="92" t="n"/>
      <c r="P571" s="92" t="n"/>
    </row>
    <row r="572" ht="32" customHeight="1">
      <c r="A572" s="91" t="n"/>
      <c r="B572" s="91" t="n"/>
      <c r="C572" s="91" t="n"/>
      <c r="D572" s="91" t="n"/>
      <c r="E572" s="91" t="n"/>
      <c r="F572" s="94" t="n"/>
      <c r="G572" s="94" t="n"/>
      <c r="H572" s="91" t="n"/>
      <c r="I572" s="91" t="n"/>
      <c r="J572" s="91" t="n"/>
      <c r="K572" s="91" t="n"/>
      <c r="L572" s="91" t="n"/>
      <c r="M572" s="95" t="n"/>
      <c r="N572" s="91" t="n"/>
      <c r="O572" s="91" t="n"/>
      <c r="P572" s="91" t="n"/>
    </row>
    <row r="573" ht="32" customHeight="1">
      <c r="A573" s="92" t="n"/>
      <c r="B573" s="92" t="n"/>
      <c r="C573" s="92" t="n"/>
      <c r="D573" s="92" t="n"/>
      <c r="E573" s="92" t="n"/>
      <c r="F573" s="96" t="n"/>
      <c r="G573" s="96" t="n"/>
      <c r="H573" s="92" t="n"/>
      <c r="I573" s="92" t="n"/>
      <c r="J573" s="92" t="n"/>
      <c r="K573" s="92" t="n"/>
      <c r="L573" s="92" t="n"/>
      <c r="M573" s="97" t="n"/>
      <c r="N573" s="92" t="n"/>
      <c r="O573" s="92" t="n"/>
      <c r="P573" s="92" t="n"/>
    </row>
    <row r="574" ht="32" customHeight="1">
      <c r="A574" s="91" t="n"/>
      <c r="B574" s="91" t="n"/>
      <c r="C574" s="91" t="n"/>
      <c r="D574" s="91" t="n"/>
      <c r="E574" s="91" t="n"/>
      <c r="F574" s="94" t="n"/>
      <c r="G574" s="94" t="n"/>
      <c r="H574" s="91" t="n"/>
      <c r="I574" s="91" t="n"/>
      <c r="J574" s="91" t="n"/>
      <c r="K574" s="91" t="n"/>
      <c r="L574" s="91" t="n"/>
      <c r="M574" s="95" t="n"/>
      <c r="N574" s="91" t="n"/>
      <c r="O574" s="91" t="n"/>
      <c r="P574" s="91" t="n"/>
    </row>
    <row r="575" ht="32" customHeight="1">
      <c r="A575" s="92" t="n"/>
      <c r="B575" s="92" t="n"/>
      <c r="C575" s="92" t="n"/>
      <c r="D575" s="92" t="n"/>
      <c r="E575" s="92" t="n"/>
      <c r="F575" s="96" t="n"/>
      <c r="G575" s="96" t="n"/>
      <c r="H575" s="92" t="n"/>
      <c r="I575" s="92" t="n"/>
      <c r="J575" s="92" t="n"/>
      <c r="K575" s="92" t="n"/>
      <c r="L575" s="92" t="n"/>
      <c r="M575" s="97" t="n"/>
      <c r="N575" s="92" t="n"/>
      <c r="O575" s="92" t="n"/>
      <c r="P575" s="92" t="n"/>
    </row>
    <row r="576" ht="32" customHeight="1">
      <c r="A576" s="91" t="n"/>
      <c r="B576" s="91" t="n"/>
      <c r="C576" s="91" t="n"/>
      <c r="D576" s="91" t="n"/>
      <c r="E576" s="91" t="n"/>
      <c r="F576" s="94" t="n"/>
      <c r="G576" s="94" t="n"/>
      <c r="H576" s="91" t="n"/>
      <c r="I576" s="91" t="n"/>
      <c r="J576" s="91" t="n"/>
      <c r="K576" s="91" t="n"/>
      <c r="L576" s="91" t="n"/>
      <c r="M576" s="95" t="n"/>
      <c r="N576" s="91" t="n"/>
      <c r="O576" s="91" t="n"/>
      <c r="P576" s="91" t="n"/>
    </row>
    <row r="577" ht="32" customHeight="1">
      <c r="A577" s="92" t="n"/>
      <c r="B577" s="92" t="n"/>
      <c r="C577" s="92" t="n"/>
      <c r="D577" s="92" t="n"/>
      <c r="E577" s="92" t="n"/>
      <c r="F577" s="96" t="n"/>
      <c r="G577" s="96" t="n"/>
      <c r="H577" s="92" t="n"/>
      <c r="I577" s="92" t="n"/>
      <c r="J577" s="92" t="n"/>
      <c r="K577" s="92" t="n"/>
      <c r="L577" s="92" t="n"/>
      <c r="M577" s="97" t="n"/>
      <c r="N577" s="92" t="n"/>
      <c r="O577" s="92" t="n"/>
      <c r="P577" s="92" t="n"/>
    </row>
    <row r="578" ht="32" customHeight="1">
      <c r="A578" s="91" t="n"/>
      <c r="B578" s="91" t="n"/>
      <c r="C578" s="91" t="n"/>
      <c r="D578" s="91" t="n"/>
      <c r="E578" s="91" t="n"/>
      <c r="F578" s="94" t="n"/>
      <c r="G578" s="94" t="n"/>
      <c r="H578" s="91" t="n"/>
      <c r="I578" s="91" t="n"/>
      <c r="J578" s="91" t="n"/>
      <c r="K578" s="91" t="n"/>
      <c r="L578" s="91" t="n"/>
      <c r="M578" s="95" t="n"/>
      <c r="N578" s="91" t="n"/>
      <c r="O578" s="91" t="n"/>
      <c r="P578" s="91" t="n"/>
    </row>
    <row r="579" ht="32" customHeight="1">
      <c r="A579" s="92" t="n"/>
      <c r="B579" s="92" t="n"/>
      <c r="C579" s="92" t="n"/>
      <c r="D579" s="92" t="n"/>
      <c r="E579" s="92" t="n"/>
      <c r="F579" s="96" t="n"/>
      <c r="G579" s="96" t="n"/>
      <c r="H579" s="92" t="n"/>
      <c r="I579" s="92" t="n"/>
      <c r="J579" s="92" t="n"/>
      <c r="K579" s="92" t="n"/>
      <c r="L579" s="92" t="n"/>
      <c r="M579" s="97" t="n"/>
      <c r="N579" s="92" t="n"/>
      <c r="O579" s="92" t="n"/>
      <c r="P579" s="92" t="n"/>
    </row>
    <row r="580" ht="32" customHeight="1">
      <c r="A580" s="91" t="n"/>
      <c r="B580" s="91" t="n"/>
      <c r="C580" s="91" t="n"/>
      <c r="D580" s="91" t="n"/>
      <c r="E580" s="91" t="n"/>
      <c r="F580" s="94" t="n"/>
      <c r="G580" s="94" t="n"/>
      <c r="H580" s="91" t="n"/>
      <c r="I580" s="91" t="n"/>
      <c r="J580" s="91" t="n"/>
      <c r="K580" s="91" t="n"/>
      <c r="L580" s="91" t="n"/>
      <c r="M580" s="95" t="n"/>
      <c r="N580" s="91" t="n"/>
      <c r="O580" s="91" t="n"/>
      <c r="P580" s="91" t="n"/>
    </row>
    <row r="581" ht="32" customHeight="1">
      <c r="A581" s="92" t="n"/>
      <c r="B581" s="92" t="n"/>
      <c r="C581" s="92" t="n"/>
      <c r="D581" s="92" t="n"/>
      <c r="E581" s="92" t="n"/>
      <c r="F581" s="96" t="n"/>
      <c r="G581" s="96" t="n"/>
      <c r="H581" s="92" t="n"/>
      <c r="I581" s="92" t="n"/>
      <c r="J581" s="92" t="n"/>
      <c r="K581" s="92" t="n"/>
      <c r="L581" s="92" t="n"/>
      <c r="M581" s="97" t="n"/>
      <c r="N581" s="92" t="n"/>
      <c r="O581" s="92" t="n"/>
      <c r="P581" s="92" t="n"/>
    </row>
    <row r="582" ht="32" customHeight="1">
      <c r="A582" s="91" t="n"/>
      <c r="B582" s="91" t="n"/>
      <c r="C582" s="91" t="n"/>
      <c r="D582" s="91" t="n"/>
      <c r="E582" s="91" t="n"/>
      <c r="F582" s="94" t="n"/>
      <c r="G582" s="94" t="n"/>
      <c r="H582" s="91" t="n"/>
      <c r="I582" s="91" t="n"/>
      <c r="J582" s="91" t="n"/>
      <c r="K582" s="91" t="n"/>
      <c r="L582" s="91" t="n"/>
      <c r="M582" s="95" t="n"/>
      <c r="N582" s="91" t="n"/>
      <c r="O582" s="91" t="n"/>
      <c r="P582" s="91" t="n"/>
    </row>
    <row r="583" ht="32" customHeight="1">
      <c r="A583" s="92" t="n"/>
      <c r="B583" s="92" t="n"/>
      <c r="C583" s="92" t="n"/>
      <c r="D583" s="92" t="n"/>
      <c r="E583" s="92" t="n"/>
      <c r="F583" s="96" t="n"/>
      <c r="G583" s="96" t="n"/>
      <c r="H583" s="92" t="n"/>
      <c r="I583" s="92" t="n"/>
      <c r="J583" s="92" t="n"/>
      <c r="K583" s="92" t="n"/>
      <c r="L583" s="92" t="n"/>
      <c r="M583" s="97" t="n"/>
      <c r="N583" s="92" t="n"/>
      <c r="O583" s="92" t="n"/>
      <c r="P583" s="92" t="n"/>
    </row>
    <row r="584" ht="32" customHeight="1">
      <c r="A584" s="91" t="n"/>
      <c r="B584" s="91" t="n"/>
      <c r="C584" s="91" t="n"/>
      <c r="D584" s="91" t="n"/>
      <c r="E584" s="91" t="n"/>
      <c r="F584" s="94" t="n"/>
      <c r="G584" s="94" t="n"/>
      <c r="H584" s="91" t="n"/>
      <c r="I584" s="91" t="n"/>
      <c r="J584" s="91" t="n"/>
      <c r="K584" s="91" t="n"/>
      <c r="L584" s="91" t="n"/>
      <c r="M584" s="95" t="n"/>
      <c r="N584" s="91" t="n"/>
      <c r="O584" s="91" t="n"/>
      <c r="P584" s="91" t="n"/>
    </row>
    <row r="585" ht="32" customHeight="1">
      <c r="A585" s="92" t="n"/>
      <c r="B585" s="92" t="n"/>
      <c r="C585" s="92" t="n"/>
      <c r="D585" s="92" t="n"/>
      <c r="E585" s="92" t="n"/>
      <c r="F585" s="96" t="n"/>
      <c r="G585" s="96" t="n"/>
      <c r="H585" s="92" t="n"/>
      <c r="I585" s="92" t="n"/>
      <c r="J585" s="92" t="n"/>
      <c r="K585" s="92" t="n"/>
      <c r="L585" s="92" t="n"/>
      <c r="M585" s="97" t="n"/>
      <c r="N585" s="92" t="n"/>
      <c r="O585" s="92" t="n"/>
      <c r="P585" s="92" t="n"/>
    </row>
    <row r="586" ht="32" customHeight="1">
      <c r="A586" s="91" t="n"/>
      <c r="B586" s="91" t="n"/>
      <c r="C586" s="91" t="n"/>
      <c r="D586" s="91" t="n"/>
      <c r="E586" s="91" t="n"/>
      <c r="F586" s="94" t="n"/>
      <c r="G586" s="94" t="n"/>
      <c r="H586" s="91" t="n"/>
      <c r="I586" s="91" t="n"/>
      <c r="J586" s="91" t="n"/>
      <c r="K586" s="91" t="n"/>
      <c r="L586" s="91" t="n"/>
      <c r="M586" s="95" t="n"/>
      <c r="N586" s="91" t="n"/>
      <c r="O586" s="91" t="n"/>
      <c r="P586" s="91" t="n"/>
    </row>
    <row r="587" ht="32" customHeight="1">
      <c r="A587" s="92" t="n"/>
      <c r="B587" s="92" t="n"/>
      <c r="C587" s="92" t="n"/>
      <c r="D587" s="92" t="n"/>
      <c r="E587" s="92" t="n"/>
      <c r="F587" s="96" t="n"/>
      <c r="G587" s="96" t="n"/>
      <c r="H587" s="92" t="n"/>
      <c r="I587" s="92" t="n"/>
      <c r="J587" s="92" t="n"/>
      <c r="K587" s="92" t="n"/>
      <c r="L587" s="92" t="n"/>
      <c r="M587" s="97" t="n"/>
      <c r="N587" s="92" t="n"/>
      <c r="O587" s="92" t="n"/>
      <c r="P587" s="92" t="n"/>
    </row>
    <row r="588" ht="32" customHeight="1">
      <c r="A588" s="91" t="n"/>
      <c r="B588" s="91" t="n"/>
      <c r="C588" s="91" t="n"/>
      <c r="D588" s="91" t="n"/>
      <c r="E588" s="91" t="n"/>
      <c r="F588" s="94" t="n"/>
      <c r="G588" s="94" t="n"/>
      <c r="H588" s="91" t="n"/>
      <c r="I588" s="91" t="n"/>
      <c r="J588" s="91" t="n"/>
      <c r="K588" s="91" t="n"/>
      <c r="L588" s="91" t="n"/>
      <c r="M588" s="95" t="n"/>
      <c r="N588" s="91" t="n"/>
      <c r="O588" s="91" t="n"/>
      <c r="P588" s="91" t="n"/>
    </row>
    <row r="589" ht="32" customHeight="1">
      <c r="A589" s="92" t="n"/>
      <c r="B589" s="92" t="n"/>
      <c r="C589" s="92" t="n"/>
      <c r="D589" s="92" t="n"/>
      <c r="E589" s="92" t="n"/>
      <c r="F589" s="96" t="n"/>
      <c r="G589" s="96" t="n"/>
      <c r="H589" s="92" t="n"/>
      <c r="I589" s="92" t="n"/>
      <c r="J589" s="92" t="n"/>
      <c r="K589" s="92" t="n"/>
      <c r="L589" s="92" t="n"/>
      <c r="M589" s="97" t="n"/>
      <c r="N589" s="92" t="n"/>
      <c r="O589" s="92" t="n"/>
      <c r="P589" s="92" t="n"/>
    </row>
    <row r="590" ht="32" customHeight="1">
      <c r="A590" s="91" t="n"/>
      <c r="B590" s="91" t="n"/>
      <c r="C590" s="91" t="n"/>
      <c r="D590" s="91" t="n"/>
      <c r="E590" s="91" t="n"/>
      <c r="F590" s="94" t="n"/>
      <c r="G590" s="94" t="n"/>
      <c r="H590" s="91" t="n"/>
      <c r="I590" s="91" t="n"/>
      <c r="J590" s="91" t="n"/>
      <c r="K590" s="91" t="n"/>
      <c r="L590" s="91" t="n"/>
      <c r="M590" s="95" t="n"/>
      <c r="N590" s="91" t="n"/>
      <c r="O590" s="91" t="n"/>
      <c r="P590" s="91" t="n"/>
    </row>
    <row r="591" ht="32" customHeight="1">
      <c r="A591" s="92" t="n"/>
      <c r="B591" s="92" t="n"/>
      <c r="C591" s="92" t="n"/>
      <c r="D591" s="92" t="n"/>
      <c r="E591" s="92" t="n"/>
      <c r="F591" s="96" t="n"/>
      <c r="G591" s="96" t="n"/>
      <c r="H591" s="92" t="n"/>
      <c r="I591" s="92" t="n"/>
      <c r="J591" s="92" t="n"/>
      <c r="K591" s="92" t="n"/>
      <c r="L591" s="92" t="n"/>
      <c r="M591" s="97" t="n"/>
      <c r="N591" s="92" t="n"/>
      <c r="O591" s="92" t="n"/>
      <c r="P591" s="92" t="n"/>
    </row>
    <row r="592" ht="32" customHeight="1">
      <c r="A592" s="91" t="n"/>
      <c r="B592" s="91" t="n"/>
      <c r="C592" s="91" t="n"/>
      <c r="D592" s="91" t="n"/>
      <c r="E592" s="91" t="n"/>
      <c r="F592" s="94" t="n"/>
      <c r="G592" s="94" t="n"/>
      <c r="H592" s="91" t="n"/>
      <c r="I592" s="91" t="n"/>
      <c r="J592" s="91" t="n"/>
      <c r="K592" s="91" t="n"/>
      <c r="L592" s="91" t="n"/>
      <c r="M592" s="95" t="n"/>
      <c r="N592" s="91" t="n"/>
      <c r="O592" s="91" t="n"/>
      <c r="P592" s="91" t="n"/>
    </row>
    <row r="593" ht="32" customHeight="1">
      <c r="A593" s="92" t="n"/>
      <c r="B593" s="92" t="n"/>
      <c r="C593" s="92" t="n"/>
      <c r="D593" s="92" t="n"/>
      <c r="E593" s="92" t="n"/>
      <c r="F593" s="96" t="n"/>
      <c r="G593" s="96" t="n"/>
      <c r="H593" s="92" t="n"/>
      <c r="I593" s="92" t="n"/>
      <c r="J593" s="92" t="n"/>
      <c r="K593" s="92" t="n"/>
      <c r="L593" s="92" t="n"/>
      <c r="M593" s="97" t="n"/>
      <c r="N593" s="92" t="n"/>
      <c r="O593" s="92" t="n"/>
      <c r="P593" s="92" t="n"/>
    </row>
    <row r="594" ht="32" customHeight="1">
      <c r="A594" s="91" t="n"/>
      <c r="B594" s="91" t="n"/>
      <c r="C594" s="91" t="n"/>
      <c r="D594" s="91" t="n"/>
      <c r="E594" s="91" t="n"/>
      <c r="F594" s="94" t="n"/>
      <c r="G594" s="94" t="n"/>
      <c r="H594" s="91" t="n"/>
      <c r="I594" s="91" t="n"/>
      <c r="J594" s="91" t="n"/>
      <c r="K594" s="91" t="n"/>
      <c r="L594" s="91" t="n"/>
      <c r="M594" s="95" t="n"/>
      <c r="N594" s="91" t="n"/>
      <c r="O594" s="91" t="n"/>
      <c r="P594" s="91" t="n"/>
    </row>
    <row r="595" ht="32" customHeight="1">
      <c r="A595" s="92" t="n"/>
      <c r="B595" s="92" t="n"/>
      <c r="C595" s="92" t="n"/>
      <c r="D595" s="92" t="n"/>
      <c r="E595" s="92" t="n"/>
      <c r="F595" s="96" t="n"/>
      <c r="G595" s="96" t="n"/>
      <c r="H595" s="92" t="n"/>
      <c r="I595" s="92" t="n"/>
      <c r="J595" s="92" t="n"/>
      <c r="K595" s="92" t="n"/>
      <c r="L595" s="92" t="n"/>
      <c r="M595" s="97" t="n"/>
      <c r="N595" s="92" t="n"/>
      <c r="O595" s="92" t="n"/>
      <c r="P595" s="92" t="n"/>
    </row>
    <row r="596" ht="32" customHeight="1">
      <c r="A596" s="91" t="n"/>
      <c r="B596" s="91" t="n"/>
      <c r="C596" s="91" t="n"/>
      <c r="D596" s="91" t="n"/>
      <c r="E596" s="91" t="n"/>
      <c r="F596" s="94" t="n"/>
      <c r="G596" s="94" t="n"/>
      <c r="H596" s="91" t="n"/>
      <c r="I596" s="91" t="n"/>
      <c r="J596" s="91" t="n"/>
      <c r="K596" s="91" t="n"/>
      <c r="L596" s="91" t="n"/>
      <c r="M596" s="95" t="n"/>
      <c r="N596" s="91" t="n"/>
      <c r="O596" s="91" t="n"/>
      <c r="P596" s="91" t="n"/>
    </row>
    <row r="597" ht="32" customHeight="1">
      <c r="A597" s="92" t="n"/>
      <c r="B597" s="92" t="n"/>
      <c r="C597" s="92" t="n"/>
      <c r="D597" s="92" t="n"/>
      <c r="E597" s="92" t="n"/>
      <c r="F597" s="96" t="n"/>
      <c r="G597" s="96" t="n"/>
      <c r="H597" s="92" t="n"/>
      <c r="I597" s="92" t="n"/>
      <c r="J597" s="92" t="n"/>
      <c r="K597" s="92" t="n"/>
      <c r="L597" s="92" t="n"/>
      <c r="M597" s="97" t="n"/>
      <c r="N597" s="92" t="n"/>
      <c r="O597" s="92" t="n"/>
      <c r="P597" s="92" t="n"/>
    </row>
    <row r="598" ht="32" customHeight="1">
      <c r="A598" s="91" t="n"/>
      <c r="B598" s="91" t="n"/>
      <c r="C598" s="91" t="n"/>
      <c r="D598" s="91" t="n"/>
      <c r="E598" s="91" t="n"/>
      <c r="F598" s="94" t="n"/>
      <c r="G598" s="94" t="n"/>
      <c r="H598" s="91" t="n"/>
      <c r="I598" s="91" t="n"/>
      <c r="J598" s="91" t="n"/>
      <c r="K598" s="91" t="n"/>
      <c r="L598" s="91" t="n"/>
      <c r="M598" s="95" t="n"/>
      <c r="N598" s="91" t="n"/>
      <c r="O598" s="91" t="n"/>
      <c r="P598" s="91" t="n"/>
    </row>
    <row r="599" ht="32" customHeight="1">
      <c r="A599" s="92" t="n"/>
      <c r="B599" s="92" t="n"/>
      <c r="C599" s="92" t="n"/>
      <c r="D599" s="92" t="n"/>
      <c r="E599" s="92" t="n"/>
      <c r="F599" s="96" t="n"/>
      <c r="G599" s="96" t="n"/>
      <c r="H599" s="92" t="n"/>
      <c r="I599" s="92" t="n"/>
      <c r="J599" s="92" t="n"/>
      <c r="K599" s="92" t="n"/>
      <c r="L599" s="92" t="n"/>
      <c r="M599" s="97" t="n"/>
      <c r="N599" s="92" t="n"/>
      <c r="O599" s="92" t="n"/>
      <c r="P599" s="92" t="n"/>
    </row>
    <row r="600" ht="32" customHeight="1">
      <c r="A600" s="91" t="n"/>
      <c r="B600" s="91" t="n"/>
      <c r="C600" s="91" t="n"/>
      <c r="D600" s="91" t="n"/>
      <c r="E600" s="91" t="n"/>
      <c r="F600" s="94" t="n"/>
      <c r="G600" s="94" t="n"/>
      <c r="H600" s="91" t="n"/>
      <c r="I600" s="91" t="n"/>
      <c r="J600" s="91" t="n"/>
      <c r="K600" s="91" t="n"/>
      <c r="L600" s="91" t="n"/>
      <c r="M600" s="95" t="n"/>
      <c r="N600" s="91" t="n"/>
      <c r="O600" s="91" t="n"/>
      <c r="P600" s="91" t="n"/>
    </row>
    <row r="601" ht="32" customHeight="1">
      <c r="A601" s="92" t="n"/>
      <c r="B601" s="92" t="n"/>
      <c r="C601" s="92" t="n"/>
      <c r="D601" s="92" t="n"/>
      <c r="E601" s="92" t="n"/>
      <c r="F601" s="96" t="n"/>
      <c r="G601" s="96" t="n"/>
      <c r="H601" s="92" t="n"/>
      <c r="I601" s="92" t="n"/>
      <c r="J601" s="92" t="n"/>
      <c r="K601" s="92" t="n"/>
      <c r="L601" s="92" t="n"/>
      <c r="M601" s="97" t="n"/>
      <c r="N601" s="92" t="n"/>
      <c r="O601" s="92" t="n"/>
      <c r="P601" s="92" t="n"/>
    </row>
    <row r="602" ht="32" customHeight="1">
      <c r="A602" s="91" t="n"/>
      <c r="B602" s="91" t="n"/>
      <c r="C602" s="91" t="n"/>
      <c r="D602" s="91" t="n"/>
      <c r="E602" s="91" t="n"/>
      <c r="F602" s="94" t="n"/>
      <c r="G602" s="94" t="n"/>
      <c r="H602" s="91" t="n"/>
      <c r="I602" s="91" t="n"/>
      <c r="J602" s="91" t="n"/>
      <c r="K602" s="91" t="n"/>
      <c r="L602" s="91" t="n"/>
      <c r="M602" s="95" t="n"/>
      <c r="N602" s="91" t="n"/>
      <c r="O602" s="91" t="n"/>
      <c r="P602" s="91" t="n"/>
    </row>
    <row r="603" ht="32" customHeight="1">
      <c r="A603" s="92" t="n"/>
      <c r="B603" s="92" t="n"/>
      <c r="C603" s="92" t="n"/>
      <c r="D603" s="92" t="n"/>
      <c r="E603" s="92" t="n"/>
      <c r="F603" s="96" t="n"/>
      <c r="G603" s="96" t="n"/>
      <c r="H603" s="92" t="n"/>
      <c r="I603" s="92" t="n"/>
      <c r="J603" s="92" t="n"/>
      <c r="K603" s="92" t="n"/>
      <c r="L603" s="92" t="n"/>
      <c r="M603" s="97" t="n"/>
      <c r="N603" s="92" t="n"/>
      <c r="O603" s="92" t="n"/>
      <c r="P603" s="92" t="n"/>
    </row>
    <row r="604" ht="32" customHeight="1">
      <c r="A604" s="91" t="n"/>
      <c r="B604" s="91" t="n"/>
      <c r="C604" s="91" t="n"/>
      <c r="D604" s="91" t="n"/>
      <c r="E604" s="91" t="n"/>
      <c r="F604" s="94" t="n"/>
      <c r="G604" s="94" t="n"/>
      <c r="H604" s="91" t="n"/>
      <c r="I604" s="91" t="n"/>
      <c r="J604" s="91" t="n"/>
      <c r="K604" s="91" t="n"/>
      <c r="L604" s="91" t="n"/>
      <c r="M604" s="95" t="n"/>
      <c r="N604" s="91" t="n"/>
      <c r="O604" s="91" t="n"/>
      <c r="P604" s="91" t="n"/>
    </row>
    <row r="605" ht="32" customHeight="1">
      <c r="A605" s="92" t="n"/>
      <c r="B605" s="92" t="n"/>
      <c r="C605" s="92" t="n"/>
      <c r="D605" s="92" t="n"/>
      <c r="E605" s="92" t="n"/>
      <c r="F605" s="96" t="n"/>
      <c r="G605" s="96" t="n"/>
      <c r="H605" s="92" t="n"/>
      <c r="I605" s="92" t="n"/>
      <c r="J605" s="92" t="n"/>
      <c r="K605" s="92" t="n"/>
      <c r="L605" s="92" t="n"/>
      <c r="M605" s="97" t="n"/>
      <c r="N605" s="92" t="n"/>
      <c r="O605" s="92" t="n"/>
      <c r="P605" s="92" t="n"/>
    </row>
    <row r="606" ht="32" customHeight="1">
      <c r="A606" s="91" t="n"/>
      <c r="B606" s="91" t="n"/>
      <c r="C606" s="91" t="n"/>
      <c r="D606" s="91" t="n"/>
      <c r="E606" s="91" t="n"/>
      <c r="F606" s="94" t="n"/>
      <c r="G606" s="94" t="n"/>
      <c r="H606" s="91" t="n"/>
      <c r="I606" s="91" t="n"/>
      <c r="J606" s="91" t="n"/>
      <c r="K606" s="91" t="n"/>
      <c r="L606" s="91" t="n"/>
      <c r="M606" s="95" t="n"/>
      <c r="N606" s="91" t="n"/>
      <c r="O606" s="91" t="n"/>
      <c r="P606" s="91" t="n"/>
    </row>
    <row r="607" ht="32" customHeight="1">
      <c r="A607" s="92" t="n"/>
      <c r="B607" s="92" t="n"/>
      <c r="C607" s="92" t="n"/>
      <c r="D607" s="92" t="n"/>
      <c r="E607" s="92" t="n"/>
      <c r="F607" s="96" t="n"/>
      <c r="G607" s="96" t="n"/>
      <c r="H607" s="92" t="n"/>
      <c r="I607" s="92" t="n"/>
      <c r="J607" s="92" t="n"/>
      <c r="K607" s="92" t="n"/>
      <c r="L607" s="92" t="n"/>
      <c r="M607" s="97" t="n"/>
      <c r="N607" s="92" t="n"/>
      <c r="O607" s="92" t="n"/>
      <c r="P607" s="92" t="n"/>
    </row>
    <row r="608" ht="32" customHeight="1">
      <c r="A608" s="91" t="n"/>
      <c r="B608" s="91" t="n"/>
      <c r="C608" s="91" t="n"/>
      <c r="D608" s="91" t="n"/>
      <c r="E608" s="91" t="n"/>
      <c r="F608" s="94" t="n"/>
      <c r="G608" s="94" t="n"/>
      <c r="H608" s="91" t="n"/>
      <c r="I608" s="91" t="n"/>
      <c r="J608" s="91" t="n"/>
      <c r="K608" s="91" t="n"/>
      <c r="L608" s="91" t="n"/>
      <c r="M608" s="95" t="n"/>
      <c r="N608" s="91" t="n"/>
      <c r="O608" s="91" t="n"/>
      <c r="P608" s="91" t="n"/>
    </row>
    <row r="609" ht="32" customHeight="1">
      <c r="A609" s="92" t="n"/>
      <c r="B609" s="92" t="n"/>
      <c r="C609" s="92" t="n"/>
      <c r="D609" s="92" t="n"/>
      <c r="E609" s="92" t="n"/>
      <c r="F609" s="96" t="n"/>
      <c r="G609" s="96" t="n"/>
      <c r="H609" s="92" t="n"/>
      <c r="I609" s="92" t="n"/>
      <c r="J609" s="92" t="n"/>
      <c r="K609" s="92" t="n"/>
      <c r="L609" s="92" t="n"/>
      <c r="M609" s="97" t="n"/>
      <c r="N609" s="92" t="n"/>
      <c r="O609" s="92" t="n"/>
      <c r="P609" s="92" t="n"/>
    </row>
    <row r="610" ht="32" customHeight="1">
      <c r="A610" s="91" t="n"/>
      <c r="B610" s="91" t="n"/>
      <c r="C610" s="91" t="n"/>
      <c r="D610" s="91" t="n"/>
      <c r="E610" s="91" t="n"/>
      <c r="F610" s="94" t="n"/>
      <c r="G610" s="94" t="n"/>
      <c r="H610" s="91" t="n"/>
      <c r="I610" s="91" t="n"/>
      <c r="J610" s="91" t="n"/>
      <c r="K610" s="91" t="n"/>
      <c r="L610" s="91" t="n"/>
      <c r="M610" s="95" t="n"/>
      <c r="N610" s="91" t="n"/>
      <c r="O610" s="91" t="n"/>
      <c r="P610" s="91" t="n"/>
    </row>
    <row r="611" ht="32" customHeight="1">
      <c r="A611" s="92" t="n"/>
      <c r="B611" s="92" t="n"/>
      <c r="C611" s="92" t="n"/>
      <c r="D611" s="92" t="n"/>
      <c r="E611" s="92" t="n"/>
      <c r="F611" s="96" t="n"/>
      <c r="G611" s="96" t="n"/>
      <c r="H611" s="92" t="n"/>
      <c r="I611" s="92" t="n"/>
      <c r="J611" s="92" t="n"/>
      <c r="K611" s="92" t="n"/>
      <c r="L611" s="92" t="n"/>
      <c r="M611" s="97" t="n"/>
      <c r="N611" s="92" t="n"/>
      <c r="O611" s="92" t="n"/>
      <c r="P611" s="92" t="n"/>
    </row>
    <row r="612" ht="32" customHeight="1">
      <c r="A612" s="91" t="n"/>
      <c r="B612" s="91" t="n"/>
      <c r="C612" s="91" t="n"/>
      <c r="D612" s="91" t="n"/>
      <c r="E612" s="91" t="n"/>
      <c r="F612" s="94" t="n"/>
      <c r="G612" s="94" t="n"/>
      <c r="H612" s="91" t="n"/>
      <c r="I612" s="91" t="n"/>
      <c r="J612" s="91" t="n"/>
      <c r="K612" s="91" t="n"/>
      <c r="L612" s="91" t="n"/>
      <c r="M612" s="95" t="n"/>
      <c r="N612" s="91" t="n"/>
      <c r="O612" s="91" t="n"/>
      <c r="P612" s="91" t="n"/>
    </row>
    <row r="613" ht="32" customHeight="1">
      <c r="A613" s="92" t="n"/>
      <c r="B613" s="92" t="n"/>
      <c r="C613" s="92" t="n"/>
      <c r="D613" s="92" t="n"/>
      <c r="E613" s="92" t="n"/>
      <c r="F613" s="96" t="n"/>
      <c r="G613" s="96" t="n"/>
      <c r="H613" s="92" t="n"/>
      <c r="I613" s="92" t="n"/>
      <c r="J613" s="92" t="n"/>
      <c r="K613" s="92" t="n"/>
      <c r="L613" s="92" t="n"/>
      <c r="M613" s="97" t="n"/>
      <c r="N613" s="92" t="n"/>
      <c r="O613" s="92" t="n"/>
      <c r="P613" s="92" t="n"/>
    </row>
    <row r="614" ht="32" customHeight="1">
      <c r="A614" s="91" t="n"/>
      <c r="B614" s="91" t="n"/>
      <c r="C614" s="91" t="n"/>
      <c r="D614" s="91" t="n"/>
      <c r="E614" s="91" t="n"/>
      <c r="F614" s="94" t="n"/>
      <c r="G614" s="94" t="n"/>
      <c r="H614" s="91" t="n"/>
      <c r="I614" s="91" t="n"/>
      <c r="J614" s="91" t="n"/>
      <c r="K614" s="91" t="n"/>
      <c r="L614" s="91" t="n"/>
      <c r="M614" s="95" t="n"/>
      <c r="N614" s="91" t="n"/>
      <c r="O614" s="91" t="n"/>
      <c r="P614" s="91" t="n"/>
    </row>
    <row r="615" ht="32" customHeight="1">
      <c r="A615" s="92" t="n"/>
      <c r="B615" s="92" t="n"/>
      <c r="C615" s="92" t="n"/>
      <c r="D615" s="92" t="n"/>
      <c r="E615" s="92" t="n"/>
      <c r="F615" s="96" t="n"/>
      <c r="G615" s="96" t="n"/>
      <c r="H615" s="92" t="n"/>
      <c r="I615" s="92" t="n"/>
      <c r="J615" s="92" t="n"/>
      <c r="K615" s="92" t="n"/>
      <c r="L615" s="92" t="n"/>
      <c r="M615" s="97" t="n"/>
      <c r="N615" s="92" t="n"/>
      <c r="O615" s="92" t="n"/>
      <c r="P615" s="92" t="n"/>
    </row>
    <row r="616" ht="32" customHeight="1">
      <c r="A616" s="91" t="n"/>
      <c r="B616" s="91" t="n"/>
      <c r="C616" s="91" t="n"/>
      <c r="D616" s="91" t="n"/>
      <c r="E616" s="91" t="n"/>
      <c r="F616" s="94" t="n"/>
      <c r="G616" s="94" t="n"/>
      <c r="H616" s="91" t="n"/>
      <c r="I616" s="91" t="n"/>
      <c r="J616" s="91" t="n"/>
      <c r="K616" s="91" t="n"/>
      <c r="L616" s="91" t="n"/>
      <c r="M616" s="95" t="n"/>
      <c r="N616" s="91" t="n"/>
      <c r="O616" s="91" t="n"/>
      <c r="P616" s="91" t="n"/>
    </row>
    <row r="617" ht="32" customHeight="1">
      <c r="A617" s="92" t="n"/>
      <c r="B617" s="92" t="n"/>
      <c r="C617" s="92" t="n"/>
      <c r="D617" s="92" t="n"/>
      <c r="E617" s="92" t="n"/>
      <c r="F617" s="96" t="n"/>
      <c r="G617" s="96" t="n"/>
      <c r="H617" s="92" t="n"/>
      <c r="I617" s="92" t="n"/>
      <c r="J617" s="92" t="n"/>
      <c r="K617" s="92" t="n"/>
      <c r="L617" s="92" t="n"/>
      <c r="M617" s="97" t="n"/>
      <c r="N617" s="92" t="n"/>
      <c r="O617" s="92" t="n"/>
      <c r="P617" s="92" t="n"/>
    </row>
    <row r="618" ht="32" customHeight="1">
      <c r="A618" s="91" t="n"/>
      <c r="B618" s="91" t="n"/>
      <c r="C618" s="91" t="n"/>
      <c r="D618" s="91" t="n"/>
      <c r="E618" s="91" t="n"/>
      <c r="F618" s="94" t="n"/>
      <c r="G618" s="94" t="n"/>
      <c r="H618" s="91" t="n"/>
      <c r="I618" s="91" t="n"/>
      <c r="J618" s="91" t="n"/>
      <c r="K618" s="91" t="n"/>
      <c r="L618" s="91" t="n"/>
      <c r="M618" s="95" t="n"/>
      <c r="N618" s="91" t="n"/>
      <c r="O618" s="91" t="n"/>
      <c r="P618" s="91" t="n"/>
    </row>
    <row r="619" ht="32" customHeight="1">
      <c r="A619" s="92" t="n"/>
      <c r="B619" s="92" t="n"/>
      <c r="C619" s="92" t="n"/>
      <c r="D619" s="92" t="n"/>
      <c r="E619" s="92" t="n"/>
      <c r="F619" s="96" t="n"/>
      <c r="G619" s="96" t="n"/>
      <c r="H619" s="92" t="n"/>
      <c r="I619" s="92" t="n"/>
      <c r="J619" s="92" t="n"/>
      <c r="K619" s="92" t="n"/>
      <c r="L619" s="92" t="n"/>
      <c r="M619" s="97" t="n"/>
      <c r="N619" s="92" t="n"/>
      <c r="O619" s="92" t="n"/>
      <c r="P619" s="92" t="n"/>
    </row>
    <row r="620" ht="32" customHeight="1">
      <c r="A620" s="91" t="n"/>
      <c r="B620" s="91" t="n"/>
      <c r="C620" s="91" t="n"/>
      <c r="D620" s="91" t="n"/>
      <c r="E620" s="91" t="n"/>
      <c r="F620" s="94" t="n"/>
      <c r="G620" s="94" t="n"/>
      <c r="H620" s="91" t="n"/>
      <c r="I620" s="91" t="n"/>
      <c r="J620" s="91" t="n"/>
      <c r="K620" s="91" t="n"/>
      <c r="L620" s="91" t="n"/>
      <c r="M620" s="95" t="n"/>
      <c r="N620" s="91" t="n"/>
      <c r="O620" s="91" t="n"/>
      <c r="P620" s="91" t="n"/>
    </row>
    <row r="621" ht="32" customHeight="1">
      <c r="A621" s="92" t="n"/>
      <c r="B621" s="92" t="n"/>
      <c r="C621" s="92" t="n"/>
      <c r="D621" s="92" t="n"/>
      <c r="E621" s="92" t="n"/>
      <c r="F621" s="96" t="n"/>
      <c r="G621" s="96" t="n"/>
      <c r="H621" s="92" t="n"/>
      <c r="I621" s="92" t="n"/>
      <c r="J621" s="92" t="n"/>
      <c r="K621" s="92" t="n"/>
      <c r="L621" s="92" t="n"/>
      <c r="M621" s="97" t="n"/>
      <c r="N621" s="92" t="n"/>
      <c r="O621" s="92" t="n"/>
      <c r="P621" s="92" t="n"/>
    </row>
    <row r="622" ht="32" customHeight="1">
      <c r="A622" s="91" t="n"/>
      <c r="B622" s="91" t="n"/>
      <c r="C622" s="91" t="n"/>
      <c r="D622" s="91" t="n"/>
      <c r="E622" s="91" t="n"/>
      <c r="F622" s="94" t="n"/>
      <c r="G622" s="94" t="n"/>
      <c r="H622" s="91" t="n"/>
      <c r="I622" s="91" t="n"/>
      <c r="J622" s="91" t="n"/>
      <c r="K622" s="91" t="n"/>
      <c r="L622" s="91" t="n"/>
      <c r="M622" s="95" t="n"/>
      <c r="N622" s="91" t="n"/>
      <c r="O622" s="91" t="n"/>
      <c r="P622" s="91" t="n"/>
    </row>
    <row r="623" ht="32" customHeight="1">
      <c r="A623" s="92" t="n"/>
      <c r="B623" s="92" t="n"/>
      <c r="C623" s="92" t="n"/>
      <c r="D623" s="92" t="n"/>
      <c r="E623" s="92" t="n"/>
      <c r="F623" s="96" t="n"/>
      <c r="G623" s="96" t="n"/>
      <c r="H623" s="92" t="n"/>
      <c r="I623" s="92" t="n"/>
      <c r="J623" s="92" t="n"/>
      <c r="K623" s="92" t="n"/>
      <c r="L623" s="92" t="n"/>
      <c r="M623" s="97" t="n"/>
      <c r="N623" s="92" t="n"/>
      <c r="O623" s="92" t="n"/>
      <c r="P623" s="92" t="n"/>
    </row>
    <row r="624" ht="32" customHeight="1">
      <c r="A624" s="91" t="n"/>
      <c r="B624" s="91" t="n"/>
      <c r="C624" s="91" t="n"/>
      <c r="D624" s="91" t="n"/>
      <c r="E624" s="91" t="n"/>
      <c r="F624" s="94" t="n"/>
      <c r="G624" s="94" t="n"/>
      <c r="H624" s="91" t="n"/>
      <c r="I624" s="91" t="n"/>
      <c r="J624" s="91" t="n"/>
      <c r="K624" s="91" t="n"/>
      <c r="L624" s="91" t="n"/>
      <c r="M624" s="95" t="n"/>
      <c r="N624" s="91" t="n"/>
      <c r="O624" s="91" t="n"/>
      <c r="P624" s="91" t="n"/>
    </row>
    <row r="625" ht="32" customHeight="1">
      <c r="A625" s="92" t="n"/>
      <c r="B625" s="92" t="n"/>
      <c r="C625" s="92" t="n"/>
      <c r="D625" s="92" t="n"/>
      <c r="E625" s="92" t="n"/>
      <c r="F625" s="96" t="n"/>
      <c r="G625" s="96" t="n"/>
      <c r="H625" s="92" t="n"/>
      <c r="I625" s="92" t="n"/>
      <c r="J625" s="92" t="n"/>
      <c r="K625" s="92" t="n"/>
      <c r="L625" s="92" t="n"/>
      <c r="M625" s="97" t="n"/>
      <c r="N625" s="92" t="n"/>
      <c r="O625" s="92" t="n"/>
      <c r="P625" s="92" t="n"/>
    </row>
    <row r="626" ht="32" customHeight="1">
      <c r="A626" s="91" t="n"/>
      <c r="B626" s="91" t="n"/>
      <c r="C626" s="91" t="n"/>
      <c r="D626" s="91" t="n"/>
      <c r="E626" s="91" t="n"/>
      <c r="F626" s="94" t="n"/>
      <c r="G626" s="94" t="n"/>
      <c r="H626" s="91" t="n"/>
      <c r="I626" s="91" t="n"/>
      <c r="J626" s="91" t="n"/>
      <c r="K626" s="91" t="n"/>
      <c r="L626" s="91" t="n"/>
      <c r="M626" s="95" t="n"/>
      <c r="N626" s="91" t="n"/>
      <c r="O626" s="91" t="n"/>
      <c r="P626" s="91" t="n"/>
    </row>
    <row r="627" ht="32" customHeight="1">
      <c r="A627" s="92" t="n"/>
      <c r="B627" s="92" t="n"/>
      <c r="C627" s="92" t="n"/>
      <c r="D627" s="92" t="n"/>
      <c r="E627" s="92" t="n"/>
      <c r="F627" s="96" t="n"/>
      <c r="G627" s="96" t="n"/>
      <c r="H627" s="92" t="n"/>
      <c r="I627" s="92" t="n"/>
      <c r="J627" s="92" t="n"/>
      <c r="K627" s="92" t="n"/>
      <c r="L627" s="92" t="n"/>
      <c r="M627" s="97" t="n"/>
      <c r="N627" s="92" t="n"/>
      <c r="O627" s="92" t="n"/>
      <c r="P627" s="92" t="n"/>
    </row>
    <row r="628" ht="32" customHeight="1">
      <c r="A628" s="91" t="n"/>
      <c r="B628" s="91" t="n"/>
      <c r="C628" s="91" t="n"/>
      <c r="D628" s="91" t="n"/>
      <c r="E628" s="91" t="n"/>
      <c r="F628" s="94" t="n"/>
      <c r="G628" s="94" t="n"/>
      <c r="H628" s="91" t="n"/>
      <c r="I628" s="91" t="n"/>
      <c r="J628" s="91" t="n"/>
      <c r="K628" s="91" t="n"/>
      <c r="L628" s="91" t="n"/>
      <c r="M628" s="95" t="n"/>
      <c r="N628" s="91" t="n"/>
      <c r="O628" s="91" t="n"/>
      <c r="P628" s="91" t="n"/>
    </row>
    <row r="629" ht="32" customHeight="1">
      <c r="A629" s="92" t="n"/>
      <c r="B629" s="92" t="n"/>
      <c r="C629" s="92" t="n"/>
      <c r="D629" s="92" t="n"/>
      <c r="E629" s="92" t="n"/>
      <c r="F629" s="96" t="n"/>
      <c r="G629" s="96" t="n"/>
      <c r="H629" s="92" t="n"/>
      <c r="I629" s="92" t="n"/>
      <c r="J629" s="92" t="n"/>
      <c r="K629" s="92" t="n"/>
      <c r="L629" s="92" t="n"/>
      <c r="M629" s="97" t="n"/>
      <c r="N629" s="92" t="n"/>
      <c r="O629" s="92" t="n"/>
      <c r="P629" s="92" t="n"/>
    </row>
    <row r="630" ht="32" customHeight="1">
      <c r="A630" s="91" t="n"/>
      <c r="B630" s="91" t="n"/>
      <c r="C630" s="91" t="n"/>
      <c r="D630" s="91" t="n"/>
      <c r="E630" s="91" t="n"/>
      <c r="F630" s="94" t="n"/>
      <c r="G630" s="94" t="n"/>
      <c r="H630" s="91" t="n"/>
      <c r="I630" s="91" t="n"/>
      <c r="J630" s="91" t="n"/>
      <c r="K630" s="91" t="n"/>
      <c r="L630" s="91" t="n"/>
      <c r="M630" s="95" t="n"/>
      <c r="N630" s="91" t="n"/>
      <c r="O630" s="91" t="n"/>
      <c r="P630" s="91" t="n"/>
    </row>
    <row r="631" ht="32" customHeight="1">
      <c r="A631" s="92" t="n"/>
      <c r="B631" s="92" t="n"/>
      <c r="C631" s="92" t="n"/>
      <c r="D631" s="92" t="n"/>
      <c r="E631" s="92" t="n"/>
      <c r="F631" s="96" t="n"/>
      <c r="G631" s="96" t="n"/>
      <c r="H631" s="92" t="n"/>
      <c r="I631" s="92" t="n"/>
      <c r="J631" s="92" t="n"/>
      <c r="K631" s="92" t="n"/>
      <c r="L631" s="92" t="n"/>
      <c r="M631" s="97" t="n"/>
      <c r="N631" s="92" t="n"/>
      <c r="O631" s="92" t="n"/>
      <c r="P631" s="92" t="n"/>
    </row>
    <row r="632" ht="32" customHeight="1">
      <c r="A632" s="91" t="n"/>
      <c r="B632" s="91" t="n"/>
      <c r="C632" s="91" t="n"/>
      <c r="D632" s="91" t="n"/>
      <c r="E632" s="91" t="n"/>
      <c r="F632" s="94" t="n"/>
      <c r="G632" s="94" t="n"/>
      <c r="H632" s="91" t="n"/>
      <c r="I632" s="91" t="n"/>
      <c r="J632" s="91" t="n"/>
      <c r="K632" s="91" t="n"/>
      <c r="L632" s="91" t="n"/>
      <c r="M632" s="95" t="n"/>
      <c r="N632" s="91" t="n"/>
      <c r="O632" s="91" t="n"/>
      <c r="P632" s="91" t="n"/>
    </row>
    <row r="633" ht="32" customHeight="1">
      <c r="A633" s="92" t="n"/>
      <c r="B633" s="92" t="n"/>
      <c r="C633" s="92" t="n"/>
      <c r="D633" s="92" t="n"/>
      <c r="E633" s="92" t="n"/>
      <c r="F633" s="96" t="n"/>
      <c r="G633" s="96" t="n"/>
      <c r="H633" s="92" t="n"/>
      <c r="I633" s="92" t="n"/>
      <c r="J633" s="92" t="n"/>
      <c r="K633" s="92" t="n"/>
      <c r="L633" s="92" t="n"/>
      <c r="M633" s="97" t="n"/>
      <c r="N633" s="92" t="n"/>
      <c r="O633" s="92" t="n"/>
      <c r="P633" s="92" t="n"/>
    </row>
    <row r="634" ht="32" customHeight="1">
      <c r="A634" s="91" t="n"/>
      <c r="B634" s="91" t="n"/>
      <c r="C634" s="91" t="n"/>
      <c r="D634" s="91" t="n"/>
      <c r="E634" s="91" t="n"/>
      <c r="F634" s="94" t="n"/>
      <c r="G634" s="94" t="n"/>
      <c r="H634" s="91" t="n"/>
      <c r="I634" s="91" t="n"/>
      <c r="J634" s="91" t="n"/>
      <c r="K634" s="91" t="n"/>
      <c r="L634" s="91" t="n"/>
      <c r="M634" s="95" t="n"/>
      <c r="N634" s="91" t="n"/>
      <c r="O634" s="91" t="n"/>
      <c r="P634" s="91" t="n"/>
    </row>
    <row r="635" ht="32" customHeight="1">
      <c r="A635" s="92" t="n"/>
      <c r="B635" s="92" t="n"/>
      <c r="C635" s="92" t="n"/>
      <c r="D635" s="92" t="n"/>
      <c r="E635" s="92" t="n"/>
      <c r="F635" s="96" t="n"/>
      <c r="G635" s="96" t="n"/>
      <c r="H635" s="92" t="n"/>
      <c r="I635" s="92" t="n"/>
      <c r="J635" s="92" t="n"/>
      <c r="K635" s="92" t="n"/>
      <c r="L635" s="92" t="n"/>
      <c r="M635" s="97" t="n"/>
      <c r="N635" s="92" t="n"/>
      <c r="O635" s="92" t="n"/>
      <c r="P635" s="92" t="n"/>
    </row>
    <row r="636" ht="32" customHeight="1">
      <c r="A636" s="91" t="n"/>
      <c r="B636" s="91" t="n"/>
      <c r="C636" s="91" t="n"/>
      <c r="D636" s="91" t="n"/>
      <c r="E636" s="91" t="n"/>
      <c r="F636" s="94" t="n"/>
      <c r="G636" s="94" t="n"/>
      <c r="H636" s="91" t="n"/>
      <c r="I636" s="91" t="n"/>
      <c r="J636" s="91" t="n"/>
      <c r="K636" s="91" t="n"/>
      <c r="L636" s="91" t="n"/>
      <c r="M636" s="95" t="n"/>
      <c r="N636" s="91" t="n"/>
      <c r="O636" s="91" t="n"/>
      <c r="P636" s="91" t="n"/>
    </row>
    <row r="637" ht="32" customHeight="1">
      <c r="A637" s="92" t="n"/>
      <c r="B637" s="92" t="n"/>
      <c r="C637" s="92" t="n"/>
      <c r="D637" s="92" t="n"/>
      <c r="E637" s="92" t="n"/>
      <c r="F637" s="96" t="n"/>
      <c r="G637" s="96" t="n"/>
      <c r="H637" s="92" t="n"/>
      <c r="I637" s="92" t="n"/>
      <c r="J637" s="92" t="n"/>
      <c r="K637" s="92" t="n"/>
      <c r="L637" s="92" t="n"/>
      <c r="M637" s="97" t="n"/>
      <c r="N637" s="92" t="n"/>
      <c r="O637" s="92" t="n"/>
      <c r="P637" s="92" t="n"/>
    </row>
    <row r="638" ht="32" customHeight="1">
      <c r="A638" s="91" t="n"/>
      <c r="B638" s="91" t="n"/>
      <c r="C638" s="91" t="n"/>
      <c r="D638" s="91" t="n"/>
      <c r="E638" s="91" t="n"/>
      <c r="F638" s="94" t="n"/>
      <c r="G638" s="94" t="n"/>
      <c r="H638" s="91" t="n"/>
      <c r="I638" s="91" t="n"/>
      <c r="J638" s="91" t="n"/>
      <c r="K638" s="91" t="n"/>
      <c r="L638" s="91" t="n"/>
      <c r="M638" s="95" t="n"/>
      <c r="N638" s="91" t="n"/>
      <c r="O638" s="91" t="n"/>
      <c r="P638" s="91" t="n"/>
    </row>
    <row r="639" ht="32" customHeight="1">
      <c r="A639" s="92" t="n"/>
      <c r="B639" s="92" t="n"/>
      <c r="C639" s="92" t="n"/>
      <c r="D639" s="92" t="n"/>
      <c r="E639" s="92" t="n"/>
      <c r="F639" s="96" t="n"/>
      <c r="G639" s="96" t="n"/>
      <c r="H639" s="92" t="n"/>
      <c r="I639" s="92" t="n"/>
      <c r="J639" s="92" t="n"/>
      <c r="K639" s="92" t="n"/>
      <c r="L639" s="92" t="n"/>
      <c r="M639" s="97" t="n"/>
      <c r="N639" s="92" t="n"/>
      <c r="O639" s="92" t="n"/>
      <c r="P639" s="92" t="n"/>
    </row>
    <row r="640" ht="32" customHeight="1">
      <c r="A640" s="91" t="n"/>
      <c r="B640" s="91" t="n"/>
      <c r="C640" s="91" t="n"/>
      <c r="D640" s="91" t="n"/>
      <c r="E640" s="91" t="n"/>
      <c r="F640" s="94" t="n"/>
      <c r="G640" s="94" t="n"/>
      <c r="H640" s="91" t="n"/>
      <c r="I640" s="91" t="n"/>
      <c r="J640" s="91" t="n"/>
      <c r="K640" s="91" t="n"/>
      <c r="L640" s="91" t="n"/>
      <c r="M640" s="95" t="n"/>
      <c r="N640" s="91" t="n"/>
      <c r="O640" s="91" t="n"/>
      <c r="P640" s="91" t="n"/>
    </row>
    <row r="641" ht="32" customHeight="1">
      <c r="A641" s="92" t="n"/>
      <c r="B641" s="92" t="n"/>
      <c r="C641" s="92" t="n"/>
      <c r="D641" s="92" t="n"/>
      <c r="E641" s="92" t="n"/>
      <c r="F641" s="96" t="n"/>
      <c r="G641" s="96" t="n"/>
      <c r="H641" s="92" t="n"/>
      <c r="I641" s="92" t="n"/>
      <c r="J641" s="92" t="n"/>
      <c r="K641" s="92" t="n"/>
      <c r="L641" s="92" t="n"/>
      <c r="M641" s="97" t="n"/>
      <c r="N641" s="92" t="n"/>
      <c r="O641" s="92" t="n"/>
      <c r="P641" s="92" t="n"/>
    </row>
    <row r="642" ht="32" customHeight="1">
      <c r="A642" s="91" t="n"/>
      <c r="B642" s="91" t="n"/>
      <c r="C642" s="91" t="n"/>
      <c r="D642" s="91" t="n"/>
      <c r="E642" s="91" t="n"/>
      <c r="F642" s="94" t="n"/>
      <c r="G642" s="94" t="n"/>
      <c r="H642" s="91" t="n"/>
      <c r="I642" s="91" t="n"/>
      <c r="J642" s="91" t="n"/>
      <c r="K642" s="91" t="n"/>
      <c r="L642" s="91" t="n"/>
      <c r="M642" s="95" t="n"/>
      <c r="N642" s="91" t="n"/>
      <c r="O642" s="91" t="n"/>
      <c r="P642" s="91" t="n"/>
    </row>
    <row r="643" ht="32" customHeight="1">
      <c r="A643" s="92" t="n"/>
      <c r="B643" s="92" t="n"/>
      <c r="C643" s="92" t="n"/>
      <c r="D643" s="92" t="n"/>
      <c r="E643" s="92" t="n"/>
      <c r="F643" s="96" t="n"/>
      <c r="G643" s="96" t="n"/>
      <c r="H643" s="92" t="n"/>
      <c r="I643" s="92" t="n"/>
      <c r="J643" s="92" t="n"/>
      <c r="K643" s="92" t="n"/>
      <c r="L643" s="92" t="n"/>
      <c r="M643" s="97" t="n"/>
      <c r="N643" s="92" t="n"/>
      <c r="O643" s="92" t="n"/>
      <c r="P643" s="92" t="n"/>
    </row>
    <row r="644" ht="32" customHeight="1">
      <c r="A644" s="91" t="n"/>
      <c r="B644" s="91" t="n"/>
      <c r="C644" s="91" t="n"/>
      <c r="D644" s="91" t="n"/>
      <c r="E644" s="91" t="n"/>
      <c r="F644" s="94" t="n"/>
      <c r="G644" s="94" t="n"/>
      <c r="H644" s="91" t="n"/>
      <c r="I644" s="91" t="n"/>
      <c r="J644" s="91" t="n"/>
      <c r="K644" s="91" t="n"/>
      <c r="L644" s="91" t="n"/>
      <c r="M644" s="95" t="n"/>
      <c r="N644" s="91" t="n"/>
      <c r="O644" s="91" t="n"/>
      <c r="P644" s="91" t="n"/>
    </row>
    <row r="645" ht="32" customHeight="1">
      <c r="A645" s="92" t="n"/>
      <c r="B645" s="92" t="n"/>
      <c r="C645" s="92" t="n"/>
      <c r="D645" s="92" t="n"/>
      <c r="E645" s="92" t="n"/>
      <c r="F645" s="96" t="n"/>
      <c r="G645" s="96" t="n"/>
      <c r="H645" s="92" t="n"/>
      <c r="I645" s="92" t="n"/>
      <c r="J645" s="92" t="n"/>
      <c r="K645" s="92" t="n"/>
      <c r="L645" s="92" t="n"/>
      <c r="M645" s="97" t="n"/>
      <c r="N645" s="92" t="n"/>
      <c r="O645" s="92" t="n"/>
      <c r="P645" s="92" t="n"/>
    </row>
    <row r="646" ht="32" customHeight="1">
      <c r="A646" s="91" t="n"/>
      <c r="B646" s="91" t="n"/>
      <c r="C646" s="91" t="n"/>
      <c r="D646" s="91" t="n"/>
      <c r="E646" s="91" t="n"/>
      <c r="F646" s="94" t="n"/>
      <c r="G646" s="94" t="n"/>
      <c r="H646" s="91" t="n"/>
      <c r="I646" s="91" t="n"/>
      <c r="J646" s="91" t="n"/>
      <c r="K646" s="91" t="n"/>
      <c r="L646" s="91" t="n"/>
      <c r="M646" s="95" t="n"/>
      <c r="N646" s="91" t="n"/>
      <c r="O646" s="91" t="n"/>
      <c r="P646" s="91" t="n"/>
    </row>
    <row r="647" ht="32" customHeight="1">
      <c r="A647" s="92" t="n"/>
      <c r="B647" s="92" t="n"/>
      <c r="C647" s="92" t="n"/>
      <c r="D647" s="92" t="n"/>
      <c r="E647" s="92" t="n"/>
      <c r="F647" s="96" t="n"/>
      <c r="G647" s="96" t="n"/>
      <c r="H647" s="92" t="n"/>
      <c r="I647" s="92" t="n"/>
      <c r="J647" s="92" t="n"/>
      <c r="K647" s="92" t="n"/>
      <c r="L647" s="92" t="n"/>
      <c r="M647" s="97" t="n"/>
      <c r="N647" s="92" t="n"/>
      <c r="O647" s="92" t="n"/>
      <c r="P647" s="92" t="n"/>
    </row>
    <row r="648" ht="32" customHeight="1">
      <c r="A648" s="91" t="n"/>
      <c r="B648" s="91" t="n"/>
      <c r="C648" s="91" t="n"/>
      <c r="D648" s="91" t="n"/>
      <c r="E648" s="91" t="n"/>
      <c r="F648" s="94" t="n"/>
      <c r="G648" s="94" t="n"/>
      <c r="H648" s="91" t="n"/>
      <c r="I648" s="91" t="n"/>
      <c r="J648" s="91" t="n"/>
      <c r="K648" s="91" t="n"/>
      <c r="L648" s="91" t="n"/>
      <c r="M648" s="95" t="n"/>
      <c r="N648" s="91" t="n"/>
      <c r="O648" s="91" t="n"/>
      <c r="P648" s="91" t="n"/>
    </row>
    <row r="649" ht="32" customHeight="1">
      <c r="A649" s="92" t="n"/>
      <c r="B649" s="92" t="n"/>
      <c r="C649" s="92" t="n"/>
      <c r="D649" s="92" t="n"/>
      <c r="E649" s="92" t="n"/>
      <c r="F649" s="96" t="n"/>
      <c r="G649" s="96" t="n"/>
      <c r="H649" s="92" t="n"/>
      <c r="I649" s="92" t="n"/>
      <c r="J649" s="92" t="n"/>
      <c r="K649" s="92" t="n"/>
      <c r="L649" s="92" t="n"/>
      <c r="M649" s="97" t="n"/>
      <c r="N649" s="92" t="n"/>
      <c r="O649" s="92" t="n"/>
      <c r="P649" s="92" t="n"/>
    </row>
    <row r="650" ht="32" customHeight="1">
      <c r="A650" s="91" t="n"/>
      <c r="B650" s="91" t="n"/>
      <c r="C650" s="91" t="n"/>
      <c r="D650" s="91" t="n"/>
      <c r="E650" s="91" t="n"/>
      <c r="F650" s="94" t="n"/>
      <c r="G650" s="94" t="n"/>
      <c r="H650" s="91" t="n"/>
      <c r="I650" s="91" t="n"/>
      <c r="J650" s="91" t="n"/>
      <c r="K650" s="91" t="n"/>
      <c r="L650" s="91" t="n"/>
      <c r="M650" s="95" t="n"/>
      <c r="N650" s="91" t="n"/>
      <c r="O650" s="91" t="n"/>
      <c r="P650" s="91" t="n"/>
    </row>
    <row r="651" ht="32" customHeight="1">
      <c r="A651" s="92" t="n"/>
      <c r="B651" s="92" t="n"/>
      <c r="C651" s="92" t="n"/>
      <c r="D651" s="92" t="n"/>
      <c r="E651" s="92" t="n"/>
      <c r="F651" s="96" t="n"/>
      <c r="G651" s="96" t="n"/>
      <c r="H651" s="92" t="n"/>
      <c r="I651" s="92" t="n"/>
      <c r="J651" s="92" t="n"/>
      <c r="K651" s="92" t="n"/>
      <c r="L651" s="92" t="n"/>
      <c r="M651" s="97" t="n"/>
      <c r="N651" s="92" t="n"/>
      <c r="O651" s="92" t="n"/>
      <c r="P651" s="92" t="n"/>
    </row>
    <row r="652" ht="32" customHeight="1">
      <c r="A652" s="91" t="n"/>
      <c r="B652" s="91" t="n"/>
      <c r="C652" s="91" t="n"/>
      <c r="D652" s="91" t="n"/>
      <c r="E652" s="91" t="n"/>
      <c r="F652" s="94" t="n"/>
      <c r="G652" s="94" t="n"/>
      <c r="H652" s="91" t="n"/>
      <c r="I652" s="91" t="n"/>
      <c r="J652" s="91" t="n"/>
      <c r="K652" s="91" t="n"/>
      <c r="L652" s="91" t="n"/>
      <c r="M652" s="95" t="n"/>
      <c r="N652" s="91" t="n"/>
      <c r="O652" s="91" t="n"/>
      <c r="P652" s="91" t="n"/>
    </row>
    <row r="653" ht="32" customHeight="1">
      <c r="A653" s="92" t="n"/>
      <c r="B653" s="92" t="n"/>
      <c r="C653" s="92" t="n"/>
      <c r="D653" s="92" t="n"/>
      <c r="E653" s="92" t="n"/>
      <c r="F653" s="96" t="n"/>
      <c r="G653" s="96" t="n"/>
      <c r="H653" s="92" t="n"/>
      <c r="I653" s="92" t="n"/>
      <c r="J653" s="92" t="n"/>
      <c r="K653" s="92" t="n"/>
      <c r="L653" s="92" t="n"/>
      <c r="M653" s="97" t="n"/>
      <c r="N653" s="92" t="n"/>
      <c r="O653" s="92" t="n"/>
      <c r="P653" s="92" t="n"/>
    </row>
    <row r="654" ht="32" customHeight="1">
      <c r="A654" s="91" t="n"/>
      <c r="B654" s="91" t="n"/>
      <c r="C654" s="91" t="n"/>
      <c r="D654" s="91" t="n"/>
      <c r="E654" s="91" t="n"/>
      <c r="F654" s="94" t="n"/>
      <c r="G654" s="94" t="n"/>
      <c r="H654" s="91" t="n"/>
      <c r="I654" s="91" t="n"/>
      <c r="J654" s="91" t="n"/>
      <c r="K654" s="91" t="n"/>
      <c r="L654" s="91" t="n"/>
      <c r="M654" s="95" t="n"/>
      <c r="N654" s="91" t="n"/>
      <c r="O654" s="91" t="n"/>
      <c r="P654" s="91" t="n"/>
    </row>
    <row r="655" ht="32" customHeight="1">
      <c r="A655" s="92" t="n"/>
      <c r="B655" s="92" t="n"/>
      <c r="C655" s="92" t="n"/>
      <c r="D655" s="92" t="n"/>
      <c r="E655" s="92" t="n"/>
      <c r="F655" s="96" t="n"/>
      <c r="G655" s="96" t="n"/>
      <c r="H655" s="92" t="n"/>
      <c r="I655" s="92" t="n"/>
      <c r="J655" s="92" t="n"/>
      <c r="K655" s="92" t="n"/>
      <c r="L655" s="92" t="n"/>
      <c r="M655" s="97" t="n"/>
      <c r="N655" s="92" t="n"/>
      <c r="O655" s="92" t="n"/>
      <c r="P655" s="92" t="n"/>
    </row>
    <row r="656" ht="32" customHeight="1">
      <c r="A656" s="91" t="n"/>
      <c r="B656" s="91" t="n"/>
      <c r="C656" s="91" t="n"/>
      <c r="D656" s="91" t="n"/>
      <c r="E656" s="91" t="n"/>
      <c r="F656" s="94" t="n"/>
      <c r="G656" s="94" t="n"/>
      <c r="H656" s="91" t="n"/>
      <c r="I656" s="91" t="n"/>
      <c r="J656" s="91" t="n"/>
      <c r="K656" s="91" t="n"/>
      <c r="L656" s="91" t="n"/>
      <c r="M656" s="95" t="n"/>
      <c r="N656" s="91" t="n"/>
      <c r="O656" s="91" t="n"/>
      <c r="P656" s="91" t="n"/>
    </row>
    <row r="657" ht="32" customHeight="1">
      <c r="A657" s="92" t="n"/>
      <c r="B657" s="92" t="n"/>
      <c r="C657" s="92" t="n"/>
      <c r="D657" s="92" t="n"/>
      <c r="E657" s="92" t="n"/>
      <c r="F657" s="96" t="n"/>
      <c r="G657" s="96" t="n"/>
      <c r="H657" s="92" t="n"/>
      <c r="I657" s="92" t="n"/>
      <c r="J657" s="92" t="n"/>
      <c r="K657" s="92" t="n"/>
      <c r="L657" s="92" t="n"/>
      <c r="M657" s="97" t="n"/>
      <c r="N657" s="92" t="n"/>
      <c r="O657" s="92" t="n"/>
      <c r="P657" s="92" t="n"/>
    </row>
    <row r="658" ht="32" customHeight="1">
      <c r="A658" s="91" t="n"/>
      <c r="B658" s="91" t="n"/>
      <c r="C658" s="91" t="n"/>
      <c r="D658" s="91" t="n"/>
      <c r="E658" s="91" t="n"/>
      <c r="F658" s="94" t="n"/>
      <c r="G658" s="94" t="n"/>
      <c r="H658" s="91" t="n"/>
      <c r="I658" s="91" t="n"/>
      <c r="J658" s="91" t="n"/>
      <c r="K658" s="91" t="n"/>
      <c r="L658" s="91" t="n"/>
      <c r="M658" s="95" t="n"/>
      <c r="N658" s="91" t="n"/>
      <c r="O658" s="91" t="n"/>
      <c r="P658" s="91" t="n"/>
    </row>
    <row r="659" ht="32" customHeight="1">
      <c r="A659" s="92" t="n"/>
      <c r="B659" s="92" t="n"/>
      <c r="C659" s="92" t="n"/>
      <c r="D659" s="92" t="n"/>
      <c r="E659" s="92" t="n"/>
      <c r="F659" s="96" t="n"/>
      <c r="G659" s="96" t="n"/>
      <c r="H659" s="92" t="n"/>
      <c r="I659" s="92" t="n"/>
      <c r="J659" s="92" t="n"/>
      <c r="K659" s="92" t="n"/>
      <c r="L659" s="92" t="n"/>
      <c r="M659" s="97" t="n"/>
      <c r="N659" s="92" t="n"/>
      <c r="O659" s="92" t="n"/>
      <c r="P659" s="92" t="n"/>
    </row>
    <row r="660" ht="32" customHeight="1">
      <c r="A660" s="91" t="n"/>
      <c r="B660" s="91" t="n"/>
      <c r="C660" s="91" t="n"/>
      <c r="D660" s="91" t="n"/>
      <c r="E660" s="91" t="n"/>
      <c r="F660" s="94" t="n"/>
      <c r="G660" s="94" t="n"/>
      <c r="H660" s="91" t="n"/>
      <c r="I660" s="91" t="n"/>
      <c r="J660" s="91" t="n"/>
      <c r="K660" s="91" t="n"/>
      <c r="L660" s="91" t="n"/>
      <c r="M660" s="95" t="n"/>
      <c r="N660" s="91" t="n"/>
      <c r="O660" s="91" t="n"/>
      <c r="P660" s="91" t="n"/>
    </row>
    <row r="661" ht="32" customHeight="1">
      <c r="A661" s="92" t="n"/>
      <c r="B661" s="92" t="n"/>
      <c r="C661" s="92" t="n"/>
      <c r="D661" s="92" t="n"/>
      <c r="E661" s="92" t="n"/>
      <c r="F661" s="96" t="n"/>
      <c r="G661" s="96" t="n"/>
      <c r="H661" s="92" t="n"/>
      <c r="I661" s="92" t="n"/>
      <c r="J661" s="92" t="n"/>
      <c r="K661" s="92" t="n"/>
      <c r="L661" s="92" t="n"/>
      <c r="M661" s="97" t="n"/>
      <c r="N661" s="92" t="n"/>
      <c r="O661" s="92" t="n"/>
      <c r="P661" s="92" t="n"/>
    </row>
    <row r="662" ht="32" customHeight="1">
      <c r="A662" s="91" t="n"/>
      <c r="B662" s="91" t="n"/>
      <c r="C662" s="91" t="n"/>
      <c r="D662" s="91" t="n"/>
      <c r="E662" s="91" t="n"/>
      <c r="F662" s="94" t="n"/>
      <c r="G662" s="94" t="n"/>
      <c r="H662" s="91" t="n"/>
      <c r="I662" s="91" t="n"/>
      <c r="J662" s="91" t="n"/>
      <c r="K662" s="91" t="n"/>
      <c r="L662" s="91" t="n"/>
      <c r="M662" s="95" t="n"/>
      <c r="N662" s="91" t="n"/>
      <c r="O662" s="91" t="n"/>
      <c r="P662" s="91" t="n"/>
    </row>
    <row r="663" ht="32" customHeight="1">
      <c r="A663" s="92" t="n"/>
      <c r="B663" s="92" t="n"/>
      <c r="C663" s="92" t="n"/>
      <c r="D663" s="92" t="n"/>
      <c r="E663" s="92" t="n"/>
      <c r="F663" s="96" t="n"/>
      <c r="G663" s="96" t="n"/>
      <c r="H663" s="92" t="n"/>
      <c r="I663" s="92" t="n"/>
      <c r="J663" s="92" t="n"/>
      <c r="K663" s="92" t="n"/>
      <c r="L663" s="92" t="n"/>
      <c r="M663" s="97" t="n"/>
      <c r="N663" s="92" t="n"/>
      <c r="O663" s="92" t="n"/>
      <c r="P663" s="92" t="n"/>
    </row>
    <row r="664" ht="32" customHeight="1">
      <c r="A664" s="91" t="n"/>
      <c r="B664" s="91" t="n"/>
      <c r="C664" s="91" t="n"/>
      <c r="D664" s="91" t="n"/>
      <c r="E664" s="91" t="n"/>
      <c r="F664" s="94" t="n"/>
      <c r="G664" s="94" t="n"/>
      <c r="H664" s="91" t="n"/>
      <c r="I664" s="91" t="n"/>
      <c r="J664" s="91" t="n"/>
      <c r="K664" s="91" t="n"/>
      <c r="L664" s="91" t="n"/>
      <c r="M664" s="95" t="n"/>
      <c r="N664" s="91" t="n"/>
      <c r="O664" s="91" t="n"/>
      <c r="P664" s="91" t="n"/>
    </row>
    <row r="665" ht="32" customHeight="1">
      <c r="A665" s="92" t="n"/>
      <c r="B665" s="92" t="n"/>
      <c r="C665" s="92" t="n"/>
      <c r="D665" s="92" t="n"/>
      <c r="E665" s="92" t="n"/>
      <c r="F665" s="96" t="n"/>
      <c r="G665" s="96" t="n"/>
      <c r="H665" s="92" t="n"/>
      <c r="I665" s="92" t="n"/>
      <c r="J665" s="92" t="n"/>
      <c r="K665" s="92" t="n"/>
      <c r="L665" s="92" t="n"/>
      <c r="M665" s="97" t="n"/>
      <c r="N665" s="92" t="n"/>
      <c r="O665" s="92" t="n"/>
      <c r="P665" s="92" t="n"/>
    </row>
    <row r="666" ht="32" customHeight="1">
      <c r="A666" s="91" t="n"/>
      <c r="B666" s="91" t="n"/>
      <c r="C666" s="91" t="n"/>
      <c r="D666" s="91" t="n"/>
      <c r="E666" s="91" t="n"/>
      <c r="F666" s="94" t="n"/>
      <c r="G666" s="94" t="n"/>
      <c r="H666" s="91" t="n"/>
      <c r="I666" s="91" t="n"/>
      <c r="J666" s="91" t="n"/>
      <c r="K666" s="91" t="n"/>
      <c r="L666" s="91" t="n"/>
      <c r="M666" s="95" t="n"/>
      <c r="N666" s="91" t="n"/>
      <c r="O666" s="91" t="n"/>
      <c r="P666" s="91" t="n"/>
    </row>
    <row r="667" ht="32" customHeight="1">
      <c r="A667" s="92" t="n"/>
      <c r="B667" s="92" t="n"/>
      <c r="C667" s="92" t="n"/>
      <c r="D667" s="92" t="n"/>
      <c r="E667" s="92" t="n"/>
      <c r="F667" s="96" t="n"/>
      <c r="G667" s="96" t="n"/>
      <c r="H667" s="92" t="n"/>
      <c r="I667" s="92" t="n"/>
      <c r="J667" s="92" t="n"/>
      <c r="K667" s="92" t="n"/>
      <c r="L667" s="92" t="n"/>
      <c r="M667" s="97" t="n"/>
      <c r="N667" s="92" t="n"/>
      <c r="O667" s="92" t="n"/>
      <c r="P667" s="92" t="n"/>
    </row>
    <row r="668" ht="32" customHeight="1">
      <c r="A668" s="91" t="n"/>
      <c r="B668" s="91" t="n"/>
      <c r="C668" s="91" t="n"/>
      <c r="D668" s="91" t="n"/>
      <c r="E668" s="91" t="n"/>
      <c r="F668" s="94" t="n"/>
      <c r="G668" s="94" t="n"/>
      <c r="H668" s="91" t="n"/>
      <c r="I668" s="91" t="n"/>
      <c r="J668" s="91" t="n"/>
      <c r="K668" s="91" t="n"/>
      <c r="L668" s="91" t="n"/>
      <c r="M668" s="95" t="n"/>
      <c r="N668" s="91" t="n"/>
      <c r="O668" s="91" t="n"/>
      <c r="P668" s="91" t="n"/>
    </row>
    <row r="669" ht="32" customHeight="1">
      <c r="A669" s="92" t="n"/>
      <c r="B669" s="92" t="n"/>
      <c r="C669" s="92" t="n"/>
      <c r="D669" s="92" t="n"/>
      <c r="E669" s="92" t="n"/>
      <c r="F669" s="96" t="n"/>
      <c r="G669" s="96" t="n"/>
      <c r="H669" s="92" t="n"/>
      <c r="I669" s="92" t="n"/>
      <c r="J669" s="92" t="n"/>
      <c r="K669" s="92" t="n"/>
      <c r="L669" s="92" t="n"/>
      <c r="M669" s="97" t="n"/>
      <c r="N669" s="92" t="n"/>
      <c r="O669" s="92" t="n"/>
      <c r="P669" s="92" t="n"/>
    </row>
    <row r="670" ht="32" customHeight="1">
      <c r="A670" s="91" t="n"/>
      <c r="B670" s="91" t="n"/>
      <c r="C670" s="91" t="n"/>
      <c r="D670" s="91" t="n"/>
      <c r="E670" s="91" t="n"/>
      <c r="F670" s="94" t="n"/>
      <c r="G670" s="94" t="n"/>
      <c r="H670" s="91" t="n"/>
      <c r="I670" s="91" t="n"/>
      <c r="J670" s="91" t="n"/>
      <c r="K670" s="91" t="n"/>
      <c r="L670" s="91" t="n"/>
      <c r="M670" s="95" t="n"/>
      <c r="N670" s="91" t="n"/>
      <c r="O670" s="91" t="n"/>
      <c r="P670" s="91" t="n"/>
    </row>
    <row r="671" ht="32" customHeight="1">
      <c r="A671" s="92" t="n"/>
      <c r="B671" s="92" t="n"/>
      <c r="C671" s="92" t="n"/>
      <c r="D671" s="92" t="n"/>
      <c r="E671" s="92" t="n"/>
      <c r="F671" s="96" t="n"/>
      <c r="G671" s="96" t="n"/>
      <c r="H671" s="92" t="n"/>
      <c r="I671" s="92" t="n"/>
      <c r="J671" s="92" t="n"/>
      <c r="K671" s="92" t="n"/>
      <c r="L671" s="92" t="n"/>
      <c r="M671" s="97" t="n"/>
      <c r="N671" s="92" t="n"/>
      <c r="O671" s="92" t="n"/>
      <c r="P671" s="92" t="n"/>
    </row>
    <row r="672" ht="32" customHeight="1">
      <c r="A672" s="91" t="n"/>
      <c r="B672" s="91" t="n"/>
      <c r="C672" s="91" t="n"/>
      <c r="D672" s="91" t="n"/>
      <c r="E672" s="91" t="n"/>
      <c r="F672" s="94" t="n"/>
      <c r="G672" s="94" t="n"/>
      <c r="H672" s="91" t="n"/>
      <c r="I672" s="91" t="n"/>
      <c r="J672" s="91" t="n"/>
      <c r="K672" s="91" t="n"/>
      <c r="L672" s="91" t="n"/>
      <c r="M672" s="95" t="n"/>
      <c r="N672" s="91" t="n"/>
      <c r="O672" s="91" t="n"/>
      <c r="P672" s="91" t="n"/>
    </row>
    <row r="673" ht="32" customHeight="1">
      <c r="A673" s="92" t="n"/>
      <c r="B673" s="92" t="n"/>
      <c r="C673" s="92" t="n"/>
      <c r="D673" s="92" t="n"/>
      <c r="E673" s="92" t="n"/>
      <c r="F673" s="96" t="n"/>
      <c r="G673" s="96" t="n"/>
      <c r="H673" s="92" t="n"/>
      <c r="I673" s="92" t="n"/>
      <c r="J673" s="92" t="n"/>
      <c r="K673" s="92" t="n"/>
      <c r="L673" s="92" t="n"/>
      <c r="M673" s="97" t="n"/>
      <c r="N673" s="92" t="n"/>
      <c r="O673" s="92" t="n"/>
      <c r="P673" s="92" t="n"/>
    </row>
    <row r="674" ht="32" customHeight="1">
      <c r="A674" s="91" t="n"/>
      <c r="B674" s="91" t="n"/>
      <c r="C674" s="91" t="n"/>
      <c r="D674" s="91" t="n"/>
      <c r="E674" s="91" t="n"/>
      <c r="F674" s="94" t="n"/>
      <c r="G674" s="94" t="n"/>
      <c r="H674" s="91" t="n"/>
      <c r="I674" s="91" t="n"/>
      <c r="J674" s="91" t="n"/>
      <c r="K674" s="91" t="n"/>
      <c r="L674" s="91" t="n"/>
      <c r="M674" s="95" t="n"/>
      <c r="N674" s="91" t="n"/>
      <c r="O674" s="91" t="n"/>
      <c r="P674" s="91" t="n"/>
    </row>
    <row r="675" ht="32" customHeight="1">
      <c r="A675" s="92" t="n"/>
      <c r="B675" s="92" t="n"/>
      <c r="C675" s="92" t="n"/>
      <c r="D675" s="92" t="n"/>
      <c r="E675" s="92" t="n"/>
      <c r="F675" s="96" t="n"/>
      <c r="G675" s="96" t="n"/>
      <c r="H675" s="92" t="n"/>
      <c r="I675" s="92" t="n"/>
      <c r="J675" s="92" t="n"/>
      <c r="K675" s="92" t="n"/>
      <c r="L675" s="92" t="n"/>
      <c r="M675" s="97" t="n"/>
      <c r="N675" s="92" t="n"/>
      <c r="O675" s="92" t="n"/>
      <c r="P675" s="92" t="n"/>
    </row>
    <row r="676" ht="32" customHeight="1">
      <c r="A676" s="91" t="n"/>
      <c r="B676" s="91" t="n"/>
      <c r="C676" s="91" t="n"/>
      <c r="D676" s="91" t="n"/>
      <c r="E676" s="91" t="n"/>
      <c r="F676" s="94" t="n"/>
      <c r="G676" s="94" t="n"/>
      <c r="H676" s="91" t="n"/>
      <c r="I676" s="91" t="n"/>
      <c r="J676" s="91" t="n"/>
      <c r="K676" s="91" t="n"/>
      <c r="L676" s="91" t="n"/>
      <c r="M676" s="95" t="n"/>
      <c r="N676" s="91" t="n"/>
      <c r="O676" s="91" t="n"/>
      <c r="P676" s="91" t="n"/>
    </row>
    <row r="677" ht="32" customHeight="1">
      <c r="A677" s="92" t="n"/>
      <c r="B677" s="92" t="n"/>
      <c r="C677" s="92" t="n"/>
      <c r="D677" s="92" t="n"/>
      <c r="E677" s="92" t="n"/>
      <c r="F677" s="96" t="n"/>
      <c r="G677" s="96" t="n"/>
      <c r="H677" s="92" t="n"/>
      <c r="I677" s="92" t="n"/>
      <c r="J677" s="92" t="n"/>
      <c r="K677" s="92" t="n"/>
      <c r="L677" s="92" t="n"/>
      <c r="M677" s="97" t="n"/>
      <c r="N677" s="92" t="n"/>
      <c r="O677" s="92" t="n"/>
      <c r="P677" s="92" t="n"/>
    </row>
    <row r="678" ht="32" customHeight="1">
      <c r="A678" s="91" t="n"/>
      <c r="B678" s="91" t="n"/>
      <c r="C678" s="91" t="n"/>
      <c r="D678" s="91" t="n"/>
      <c r="E678" s="91" t="n"/>
      <c r="F678" s="94" t="n"/>
      <c r="G678" s="94" t="n"/>
      <c r="H678" s="91" t="n"/>
      <c r="I678" s="91" t="n"/>
      <c r="J678" s="91" t="n"/>
      <c r="K678" s="91" t="n"/>
      <c r="L678" s="91" t="n"/>
      <c r="M678" s="95" t="n"/>
      <c r="N678" s="91" t="n"/>
      <c r="O678" s="91" t="n"/>
      <c r="P678" s="91" t="n"/>
    </row>
    <row r="679" ht="32" customHeight="1">
      <c r="A679" s="92" t="n"/>
      <c r="B679" s="92" t="n"/>
      <c r="C679" s="92" t="n"/>
      <c r="D679" s="92" t="n"/>
      <c r="E679" s="92" t="n"/>
      <c r="F679" s="96" t="n"/>
      <c r="G679" s="96" t="n"/>
      <c r="H679" s="92" t="n"/>
      <c r="I679" s="92" t="n"/>
      <c r="J679" s="92" t="n"/>
      <c r="K679" s="92" t="n"/>
      <c r="L679" s="92" t="n"/>
      <c r="M679" s="97" t="n"/>
      <c r="N679" s="92" t="n"/>
      <c r="O679" s="92" t="n"/>
      <c r="P679" s="92" t="n"/>
    </row>
    <row r="680" ht="32" customHeight="1">
      <c r="A680" s="91" t="n"/>
      <c r="B680" s="91" t="n"/>
      <c r="C680" s="91" t="n"/>
      <c r="D680" s="91" t="n"/>
      <c r="E680" s="91" t="n"/>
      <c r="F680" s="94" t="n"/>
      <c r="G680" s="94" t="n"/>
      <c r="H680" s="91" t="n"/>
      <c r="I680" s="91" t="n"/>
      <c r="J680" s="91" t="n"/>
      <c r="K680" s="91" t="n"/>
      <c r="L680" s="91" t="n"/>
      <c r="M680" s="95" t="n"/>
      <c r="N680" s="91" t="n"/>
      <c r="O680" s="91" t="n"/>
      <c r="P680" s="91" t="n"/>
    </row>
    <row r="681" ht="32" customHeight="1">
      <c r="A681" s="92" t="n"/>
      <c r="B681" s="92" t="n"/>
      <c r="C681" s="92" t="n"/>
      <c r="D681" s="92" t="n"/>
      <c r="E681" s="92" t="n"/>
      <c r="F681" s="96" t="n"/>
      <c r="G681" s="96" t="n"/>
      <c r="H681" s="92" t="n"/>
      <c r="I681" s="92" t="n"/>
      <c r="J681" s="92" t="n"/>
      <c r="K681" s="92" t="n"/>
      <c r="L681" s="92" t="n"/>
      <c r="M681" s="97" t="n"/>
      <c r="N681" s="92" t="n"/>
      <c r="O681" s="92" t="n"/>
      <c r="P681" s="92" t="n"/>
    </row>
    <row r="682" ht="32" customHeight="1">
      <c r="A682" s="91" t="n"/>
      <c r="B682" s="91" t="n"/>
      <c r="C682" s="91" t="n"/>
      <c r="D682" s="91" t="n"/>
      <c r="E682" s="91" t="n"/>
      <c r="F682" s="94" t="n"/>
      <c r="G682" s="94" t="n"/>
      <c r="H682" s="91" t="n"/>
      <c r="I682" s="91" t="n"/>
      <c r="J682" s="91" t="n"/>
      <c r="K682" s="91" t="n"/>
      <c r="L682" s="91" t="n"/>
      <c r="M682" s="95" t="n"/>
      <c r="N682" s="91" t="n"/>
      <c r="O682" s="91" t="n"/>
      <c r="P682" s="91" t="n"/>
    </row>
    <row r="683" ht="32" customHeight="1">
      <c r="A683" s="92" t="n"/>
      <c r="B683" s="92" t="n"/>
      <c r="C683" s="92" t="n"/>
      <c r="D683" s="92" t="n"/>
      <c r="E683" s="92" t="n"/>
      <c r="F683" s="96" t="n"/>
      <c r="G683" s="96" t="n"/>
      <c r="H683" s="92" t="n"/>
      <c r="I683" s="92" t="n"/>
      <c r="J683" s="92" t="n"/>
      <c r="K683" s="92" t="n"/>
      <c r="L683" s="92" t="n"/>
      <c r="M683" s="97" t="n"/>
      <c r="N683" s="92" t="n"/>
      <c r="O683" s="92" t="n"/>
      <c r="P683" s="92" t="n"/>
    </row>
    <row r="684" ht="32" customHeight="1">
      <c r="A684" s="91" t="n"/>
      <c r="B684" s="91" t="n"/>
      <c r="C684" s="91" t="n"/>
      <c r="D684" s="91" t="n"/>
      <c r="E684" s="91" t="n"/>
      <c r="F684" s="94" t="n"/>
      <c r="G684" s="94" t="n"/>
      <c r="H684" s="91" t="n"/>
      <c r="I684" s="91" t="n"/>
      <c r="J684" s="91" t="n"/>
      <c r="K684" s="91" t="n"/>
      <c r="L684" s="91" t="n"/>
      <c r="M684" s="95" t="n"/>
      <c r="N684" s="91" t="n"/>
      <c r="O684" s="91" t="n"/>
      <c r="P684" s="91" t="n"/>
    </row>
    <row r="685" ht="32" customHeight="1">
      <c r="A685" s="92" t="n"/>
      <c r="B685" s="92" t="n"/>
      <c r="C685" s="92" t="n"/>
      <c r="D685" s="92" t="n"/>
      <c r="E685" s="92" t="n"/>
      <c r="F685" s="96" t="n"/>
      <c r="G685" s="96" t="n"/>
      <c r="H685" s="92" t="n"/>
      <c r="I685" s="92" t="n"/>
      <c r="J685" s="92" t="n"/>
      <c r="K685" s="92" t="n"/>
      <c r="L685" s="92" t="n"/>
      <c r="M685" s="97" t="n"/>
      <c r="N685" s="92" t="n"/>
      <c r="O685" s="92" t="n"/>
      <c r="P685" s="92" t="n"/>
    </row>
    <row r="686" ht="32" customHeight="1">
      <c r="A686" s="91" t="n"/>
      <c r="B686" s="91" t="n"/>
      <c r="C686" s="91" t="n"/>
      <c r="D686" s="91" t="n"/>
      <c r="E686" s="91" t="n"/>
      <c r="F686" s="94" t="n"/>
      <c r="G686" s="94" t="n"/>
      <c r="H686" s="91" t="n"/>
      <c r="I686" s="91" t="n"/>
      <c r="J686" s="91" t="n"/>
      <c r="K686" s="91" t="n"/>
      <c r="L686" s="91" t="n"/>
      <c r="M686" s="95" t="n"/>
      <c r="N686" s="91" t="n"/>
      <c r="O686" s="91" t="n"/>
      <c r="P686" s="91" t="n"/>
    </row>
    <row r="687" ht="32" customHeight="1">
      <c r="A687" s="92" t="n"/>
      <c r="B687" s="92" t="n"/>
      <c r="C687" s="92" t="n"/>
      <c r="D687" s="92" t="n"/>
      <c r="E687" s="92" t="n"/>
      <c r="F687" s="96" t="n"/>
      <c r="G687" s="96" t="n"/>
      <c r="H687" s="92" t="n"/>
      <c r="I687" s="92" t="n"/>
      <c r="J687" s="92" t="n"/>
      <c r="K687" s="92" t="n"/>
      <c r="L687" s="92" t="n"/>
      <c r="M687" s="97" t="n"/>
      <c r="N687" s="92" t="n"/>
      <c r="O687" s="92" t="n"/>
      <c r="P687" s="92" t="n"/>
    </row>
    <row r="688" ht="32" customHeight="1">
      <c r="A688" s="91" t="n"/>
      <c r="B688" s="91" t="n"/>
      <c r="C688" s="91" t="n"/>
      <c r="D688" s="91" t="n"/>
      <c r="E688" s="91" t="n"/>
      <c r="F688" s="94" t="n"/>
      <c r="G688" s="94" t="n"/>
      <c r="H688" s="91" t="n"/>
      <c r="I688" s="91" t="n"/>
      <c r="J688" s="91" t="n"/>
      <c r="K688" s="91" t="n"/>
      <c r="L688" s="91" t="n"/>
      <c r="M688" s="95" t="n"/>
      <c r="N688" s="91" t="n"/>
      <c r="O688" s="91" t="n"/>
      <c r="P688" s="91" t="n"/>
    </row>
    <row r="689" ht="32" customHeight="1">
      <c r="A689" s="92" t="n"/>
      <c r="B689" s="92" t="n"/>
      <c r="C689" s="92" t="n"/>
      <c r="D689" s="92" t="n"/>
      <c r="E689" s="92" t="n"/>
      <c r="F689" s="96" t="n"/>
      <c r="G689" s="96" t="n"/>
      <c r="H689" s="92" t="n"/>
      <c r="I689" s="92" t="n"/>
      <c r="J689" s="92" t="n"/>
      <c r="K689" s="92" t="n"/>
      <c r="L689" s="92" t="n"/>
      <c r="M689" s="97" t="n"/>
      <c r="N689" s="92" t="n"/>
      <c r="O689" s="92" t="n"/>
      <c r="P689" s="92" t="n"/>
    </row>
    <row r="690" ht="32" customHeight="1">
      <c r="A690" s="91" t="n"/>
      <c r="B690" s="91" t="n"/>
      <c r="C690" s="91" t="n"/>
      <c r="D690" s="91" t="n"/>
      <c r="E690" s="91" t="n"/>
      <c r="F690" s="94" t="n"/>
      <c r="G690" s="94" t="n"/>
      <c r="H690" s="91" t="n"/>
      <c r="I690" s="91" t="n"/>
      <c r="J690" s="91" t="n"/>
      <c r="K690" s="91" t="n"/>
      <c r="L690" s="91" t="n"/>
      <c r="M690" s="95" t="n"/>
      <c r="N690" s="91" t="n"/>
      <c r="O690" s="91" t="n"/>
      <c r="P690" s="91" t="n"/>
    </row>
    <row r="691" ht="32" customHeight="1">
      <c r="A691" s="92" t="n"/>
      <c r="B691" s="92" t="n"/>
      <c r="C691" s="92" t="n"/>
      <c r="D691" s="92" t="n"/>
      <c r="E691" s="92" t="n"/>
      <c r="F691" s="96" t="n"/>
      <c r="G691" s="96" t="n"/>
      <c r="H691" s="92" t="n"/>
      <c r="I691" s="92" t="n"/>
      <c r="J691" s="92" t="n"/>
      <c r="K691" s="92" t="n"/>
      <c r="L691" s="92" t="n"/>
      <c r="M691" s="97" t="n"/>
      <c r="N691" s="92" t="n"/>
      <c r="O691" s="92" t="n"/>
      <c r="P691" s="92" t="n"/>
    </row>
    <row r="692" ht="32" customHeight="1">
      <c r="A692" s="91" t="n"/>
      <c r="B692" s="91" t="n"/>
      <c r="C692" s="91" t="n"/>
      <c r="D692" s="91" t="n"/>
      <c r="E692" s="91" t="n"/>
      <c r="F692" s="94" t="n"/>
      <c r="G692" s="94" t="n"/>
      <c r="H692" s="91" t="n"/>
      <c r="I692" s="91" t="n"/>
      <c r="J692" s="91" t="n"/>
      <c r="K692" s="91" t="n"/>
      <c r="L692" s="91" t="n"/>
      <c r="M692" s="95" t="n"/>
      <c r="N692" s="91" t="n"/>
      <c r="O692" s="91" t="n"/>
      <c r="P692" s="91" t="n"/>
    </row>
    <row r="693" ht="32" customHeight="1">
      <c r="A693" s="92" t="n"/>
      <c r="B693" s="92" t="n"/>
      <c r="C693" s="92" t="n"/>
      <c r="D693" s="92" t="n"/>
      <c r="E693" s="92" t="n"/>
      <c r="F693" s="96" t="n"/>
      <c r="G693" s="96" t="n"/>
      <c r="H693" s="92" t="n"/>
      <c r="I693" s="92" t="n"/>
      <c r="J693" s="92" t="n"/>
      <c r="K693" s="92" t="n"/>
      <c r="L693" s="92" t="n"/>
      <c r="M693" s="97" t="n"/>
      <c r="N693" s="92" t="n"/>
      <c r="O693" s="92" t="n"/>
      <c r="P693" s="92" t="n"/>
    </row>
    <row r="694" ht="32" customHeight="1">
      <c r="A694" s="91" t="n"/>
      <c r="B694" s="91" t="n"/>
      <c r="C694" s="91" t="n"/>
      <c r="D694" s="91" t="n"/>
      <c r="E694" s="91" t="n"/>
      <c r="F694" s="94" t="n"/>
      <c r="G694" s="94" t="n"/>
      <c r="H694" s="91" t="n"/>
      <c r="I694" s="91" t="n"/>
      <c r="J694" s="91" t="n"/>
      <c r="K694" s="91" t="n"/>
      <c r="L694" s="91" t="n"/>
      <c r="M694" s="95" t="n"/>
      <c r="N694" s="91" t="n"/>
      <c r="O694" s="91" t="n"/>
      <c r="P694" s="91" t="n"/>
    </row>
    <row r="695" ht="32" customHeight="1">
      <c r="A695" s="92" t="n"/>
      <c r="B695" s="92" t="n"/>
      <c r="C695" s="92" t="n"/>
      <c r="D695" s="92" t="n"/>
      <c r="E695" s="92" t="n"/>
      <c r="F695" s="96" t="n"/>
      <c r="G695" s="96" t="n"/>
      <c r="H695" s="92" t="n"/>
      <c r="I695" s="92" t="n"/>
      <c r="J695" s="92" t="n"/>
      <c r="K695" s="92" t="n"/>
      <c r="L695" s="92" t="n"/>
      <c r="M695" s="97" t="n"/>
      <c r="N695" s="92" t="n"/>
      <c r="O695" s="92" t="n"/>
      <c r="P695" s="92" t="n"/>
    </row>
    <row r="696" ht="32" customHeight="1">
      <c r="A696" s="91" t="n"/>
      <c r="B696" s="91" t="n"/>
      <c r="C696" s="91" t="n"/>
      <c r="D696" s="91" t="n"/>
      <c r="E696" s="91" t="n"/>
      <c r="F696" s="94" t="n"/>
      <c r="G696" s="94" t="n"/>
      <c r="H696" s="91" t="n"/>
      <c r="I696" s="91" t="n"/>
      <c r="J696" s="91" t="n"/>
      <c r="K696" s="91" t="n"/>
      <c r="L696" s="91" t="n"/>
      <c r="M696" s="95" t="n"/>
      <c r="N696" s="91" t="n"/>
      <c r="O696" s="91" t="n"/>
      <c r="P696" s="91" t="n"/>
    </row>
    <row r="697" ht="32" customHeight="1">
      <c r="A697" s="92" t="n"/>
      <c r="B697" s="92" t="n"/>
      <c r="C697" s="92" t="n"/>
      <c r="D697" s="92" t="n"/>
      <c r="E697" s="92" t="n"/>
      <c r="F697" s="96" t="n"/>
      <c r="G697" s="96" t="n"/>
      <c r="H697" s="92" t="n"/>
      <c r="I697" s="92" t="n"/>
      <c r="J697" s="92" t="n"/>
      <c r="K697" s="92" t="n"/>
      <c r="L697" s="92" t="n"/>
      <c r="M697" s="97" t="n"/>
      <c r="N697" s="92" t="n"/>
      <c r="O697" s="92" t="n"/>
      <c r="P697" s="92" t="n"/>
    </row>
    <row r="698" ht="32" customHeight="1">
      <c r="A698" s="91" t="n"/>
      <c r="B698" s="91" t="n"/>
      <c r="C698" s="91" t="n"/>
      <c r="D698" s="91" t="n"/>
      <c r="E698" s="91" t="n"/>
      <c r="F698" s="94" t="n"/>
      <c r="G698" s="94" t="n"/>
      <c r="H698" s="91" t="n"/>
      <c r="I698" s="91" t="n"/>
      <c r="J698" s="91" t="n"/>
      <c r="K698" s="91" t="n"/>
      <c r="L698" s="91" t="n"/>
      <c r="M698" s="95" t="n"/>
      <c r="N698" s="91" t="n"/>
      <c r="O698" s="91" t="n"/>
      <c r="P698" s="91" t="n"/>
    </row>
    <row r="699" ht="32" customHeight="1">
      <c r="A699" s="92" t="n"/>
      <c r="B699" s="92" t="n"/>
      <c r="C699" s="92" t="n"/>
      <c r="D699" s="92" t="n"/>
      <c r="E699" s="92" t="n"/>
      <c r="F699" s="96" t="n"/>
      <c r="G699" s="96" t="n"/>
      <c r="H699" s="92" t="n"/>
      <c r="I699" s="92" t="n"/>
      <c r="J699" s="92" t="n"/>
      <c r="K699" s="92" t="n"/>
      <c r="L699" s="92" t="n"/>
      <c r="M699" s="97" t="n"/>
      <c r="N699" s="92" t="n"/>
      <c r="O699" s="92" t="n"/>
      <c r="P699" s="92" t="n"/>
    </row>
    <row r="700" ht="32" customHeight="1">
      <c r="A700" s="91" t="n"/>
      <c r="B700" s="91" t="n"/>
      <c r="C700" s="91" t="n"/>
      <c r="D700" s="91" t="n"/>
      <c r="E700" s="91" t="n"/>
      <c r="F700" s="94" t="n"/>
      <c r="G700" s="94" t="n"/>
      <c r="H700" s="91" t="n"/>
      <c r="I700" s="91" t="n"/>
      <c r="J700" s="91" t="n"/>
      <c r="K700" s="91" t="n"/>
      <c r="L700" s="91" t="n"/>
      <c r="M700" s="95" t="n"/>
      <c r="N700" s="91" t="n"/>
      <c r="O700" s="91" t="n"/>
      <c r="P700" s="91" t="n"/>
    </row>
    <row r="701" ht="32" customHeight="1">
      <c r="A701" s="92" t="n"/>
      <c r="B701" s="92" t="n"/>
      <c r="C701" s="92" t="n"/>
      <c r="D701" s="92" t="n"/>
      <c r="E701" s="92" t="n"/>
      <c r="F701" s="96" t="n"/>
      <c r="G701" s="96" t="n"/>
      <c r="H701" s="92" t="n"/>
      <c r="I701" s="92" t="n"/>
      <c r="J701" s="92" t="n"/>
      <c r="K701" s="92" t="n"/>
      <c r="L701" s="92" t="n"/>
      <c r="M701" s="97" t="n"/>
      <c r="N701" s="92" t="n"/>
      <c r="O701" s="92" t="n"/>
      <c r="P701" s="92" t="n"/>
    </row>
    <row r="702" ht="32" customHeight="1">
      <c r="A702" s="91" t="n"/>
      <c r="B702" s="91" t="n"/>
      <c r="C702" s="91" t="n"/>
      <c r="D702" s="91" t="n"/>
      <c r="E702" s="91" t="n"/>
      <c r="F702" s="94" t="n"/>
      <c r="G702" s="94" t="n"/>
      <c r="H702" s="91" t="n"/>
      <c r="I702" s="91" t="n"/>
      <c r="J702" s="91" t="n"/>
      <c r="K702" s="91" t="n"/>
      <c r="L702" s="91" t="n"/>
      <c r="M702" s="95" t="n"/>
      <c r="N702" s="91" t="n"/>
      <c r="O702" s="91" t="n"/>
      <c r="P702" s="91" t="n"/>
    </row>
    <row r="703" ht="32" customHeight="1">
      <c r="A703" s="92" t="n"/>
      <c r="B703" s="92" t="n"/>
      <c r="C703" s="92" t="n"/>
      <c r="D703" s="92" t="n"/>
      <c r="E703" s="92" t="n"/>
      <c r="F703" s="96" t="n"/>
      <c r="G703" s="96" t="n"/>
      <c r="H703" s="92" t="n"/>
      <c r="I703" s="92" t="n"/>
      <c r="J703" s="92" t="n"/>
      <c r="K703" s="92" t="n"/>
      <c r="L703" s="92" t="n"/>
      <c r="M703" s="97" t="n"/>
      <c r="N703" s="92" t="n"/>
      <c r="O703" s="92" t="n"/>
      <c r="P703" s="92" t="n"/>
    </row>
    <row r="704" ht="32" customHeight="1">
      <c r="A704" s="91" t="n"/>
      <c r="B704" s="91" t="n"/>
      <c r="C704" s="91" t="n"/>
      <c r="D704" s="91" t="n"/>
      <c r="E704" s="91" t="n"/>
      <c r="F704" s="94" t="n"/>
      <c r="G704" s="94" t="n"/>
      <c r="H704" s="91" t="n"/>
      <c r="I704" s="91" t="n"/>
      <c r="J704" s="91" t="n"/>
      <c r="K704" s="91" t="n"/>
      <c r="L704" s="91" t="n"/>
      <c r="M704" s="95" t="n"/>
      <c r="N704" s="91" t="n"/>
      <c r="O704" s="91" t="n"/>
      <c r="P704" s="91" t="n"/>
    </row>
    <row r="705" ht="32" customHeight="1">
      <c r="A705" s="92" t="n"/>
      <c r="B705" s="92" t="n"/>
      <c r="C705" s="92" t="n"/>
      <c r="D705" s="92" t="n"/>
      <c r="E705" s="92" t="n"/>
      <c r="F705" s="96" t="n"/>
      <c r="G705" s="96" t="n"/>
      <c r="H705" s="92" t="n"/>
      <c r="I705" s="92" t="n"/>
      <c r="J705" s="92" t="n"/>
      <c r="K705" s="92" t="n"/>
      <c r="L705" s="92" t="n"/>
      <c r="M705" s="97" t="n"/>
      <c r="N705" s="92" t="n"/>
      <c r="O705" s="92" t="n"/>
      <c r="P705" s="92" t="n"/>
    </row>
    <row r="706" ht="32" customHeight="1">
      <c r="A706" s="91" t="n"/>
      <c r="B706" s="91" t="n"/>
      <c r="C706" s="91" t="n"/>
      <c r="D706" s="91" t="n"/>
      <c r="E706" s="91" t="n"/>
      <c r="F706" s="94" t="n"/>
      <c r="G706" s="94" t="n"/>
      <c r="H706" s="91" t="n"/>
      <c r="I706" s="91" t="n"/>
      <c r="J706" s="91" t="n"/>
      <c r="K706" s="91" t="n"/>
      <c r="L706" s="91" t="n"/>
      <c r="M706" s="95" t="n"/>
      <c r="N706" s="91" t="n"/>
      <c r="O706" s="91" t="n"/>
      <c r="P706" s="91" t="n"/>
    </row>
    <row r="707" ht="32" customHeight="1">
      <c r="A707" s="92" t="n"/>
      <c r="B707" s="92" t="n"/>
      <c r="C707" s="92" t="n"/>
      <c r="D707" s="92" t="n"/>
      <c r="E707" s="92" t="n"/>
      <c r="F707" s="96" t="n"/>
      <c r="G707" s="96" t="n"/>
      <c r="H707" s="92" t="n"/>
      <c r="I707" s="92" t="n"/>
      <c r="J707" s="92" t="n"/>
      <c r="K707" s="92" t="n"/>
      <c r="L707" s="92" t="n"/>
      <c r="M707" s="97" t="n"/>
      <c r="N707" s="92" t="n"/>
      <c r="O707" s="92" t="n"/>
      <c r="P707" s="92" t="n"/>
    </row>
    <row r="708" ht="32" customHeight="1">
      <c r="A708" s="91" t="n"/>
      <c r="B708" s="91" t="n"/>
      <c r="C708" s="91" t="n"/>
      <c r="D708" s="91" t="n"/>
      <c r="E708" s="91" t="n"/>
      <c r="F708" s="94" t="n"/>
      <c r="G708" s="94" t="n"/>
      <c r="H708" s="91" t="n"/>
      <c r="I708" s="91" t="n"/>
      <c r="J708" s="91" t="n"/>
      <c r="K708" s="91" t="n"/>
      <c r="L708" s="91" t="n"/>
      <c r="M708" s="95" t="n"/>
      <c r="N708" s="91" t="n"/>
      <c r="O708" s="91" t="n"/>
      <c r="P708" s="91" t="n"/>
    </row>
    <row r="709" ht="32" customHeight="1">
      <c r="A709" s="92" t="n"/>
      <c r="B709" s="92" t="n"/>
      <c r="C709" s="92" t="n"/>
      <c r="D709" s="92" t="n"/>
      <c r="E709" s="92" t="n"/>
      <c r="F709" s="96" t="n"/>
      <c r="G709" s="96" t="n"/>
      <c r="H709" s="92" t="n"/>
      <c r="I709" s="92" t="n"/>
      <c r="J709" s="92" t="n"/>
      <c r="K709" s="92" t="n"/>
      <c r="L709" s="92" t="n"/>
      <c r="M709" s="97" t="n"/>
      <c r="N709" s="92" t="n"/>
      <c r="O709" s="92" t="n"/>
      <c r="P709" s="92" t="n"/>
    </row>
    <row r="710" ht="32" customHeight="1">
      <c r="A710" s="91" t="n"/>
      <c r="B710" s="91" t="n"/>
      <c r="C710" s="91" t="n"/>
      <c r="D710" s="91" t="n"/>
      <c r="E710" s="91" t="n"/>
      <c r="F710" s="94" t="n"/>
      <c r="G710" s="94" t="n"/>
      <c r="H710" s="91" t="n"/>
      <c r="I710" s="91" t="n"/>
      <c r="J710" s="91" t="n"/>
      <c r="K710" s="91" t="n"/>
      <c r="L710" s="91" t="n"/>
      <c r="M710" s="95" t="n"/>
      <c r="N710" s="91" t="n"/>
      <c r="O710" s="91" t="n"/>
      <c r="P710" s="91" t="n"/>
    </row>
    <row r="711" ht="32" customHeight="1">
      <c r="A711" s="92" t="n"/>
      <c r="B711" s="92" t="n"/>
      <c r="C711" s="92" t="n"/>
      <c r="D711" s="92" t="n"/>
      <c r="E711" s="92" t="n"/>
      <c r="F711" s="96" t="n"/>
      <c r="G711" s="96" t="n"/>
      <c r="H711" s="92" t="n"/>
      <c r="I711" s="92" t="n"/>
      <c r="J711" s="92" t="n"/>
      <c r="K711" s="92" t="n"/>
      <c r="L711" s="92" t="n"/>
      <c r="M711" s="97" t="n"/>
      <c r="N711" s="92" t="n"/>
      <c r="O711" s="92" t="n"/>
      <c r="P711" s="92" t="n"/>
    </row>
    <row r="712" ht="32" customHeight="1">
      <c r="A712" s="91" t="n"/>
      <c r="B712" s="91" t="n"/>
      <c r="C712" s="91" t="n"/>
      <c r="D712" s="91" t="n"/>
      <c r="E712" s="91" t="n"/>
      <c r="F712" s="94" t="n"/>
      <c r="G712" s="94" t="n"/>
      <c r="H712" s="91" t="n"/>
      <c r="I712" s="91" t="n"/>
      <c r="J712" s="91" t="n"/>
      <c r="K712" s="91" t="n"/>
      <c r="L712" s="91" t="n"/>
      <c r="M712" s="95" t="n"/>
      <c r="N712" s="91" t="n"/>
      <c r="O712" s="91" t="n"/>
      <c r="P712" s="91" t="n"/>
    </row>
    <row r="713" ht="32" customHeight="1">
      <c r="A713" s="92" t="n"/>
      <c r="B713" s="92" t="n"/>
      <c r="C713" s="92" t="n"/>
      <c r="D713" s="92" t="n"/>
      <c r="E713" s="92" t="n"/>
      <c r="F713" s="96" t="n"/>
      <c r="G713" s="96" t="n"/>
      <c r="H713" s="92" t="n"/>
      <c r="I713" s="92" t="n"/>
      <c r="J713" s="92" t="n"/>
      <c r="K713" s="92" t="n"/>
      <c r="L713" s="92" t="n"/>
      <c r="M713" s="97" t="n"/>
      <c r="N713" s="92" t="n"/>
      <c r="O713" s="92" t="n"/>
      <c r="P713" s="92" t="n"/>
    </row>
    <row r="714" ht="32" customHeight="1">
      <c r="A714" s="91" t="n"/>
      <c r="B714" s="91" t="n"/>
      <c r="C714" s="91" t="n"/>
      <c r="D714" s="91" t="n"/>
      <c r="E714" s="91" t="n"/>
      <c r="F714" s="94" t="n"/>
      <c r="G714" s="94" t="n"/>
      <c r="H714" s="91" t="n"/>
      <c r="I714" s="91" t="n"/>
      <c r="J714" s="91" t="n"/>
      <c r="K714" s="91" t="n"/>
      <c r="L714" s="91" t="n"/>
      <c r="M714" s="95" t="n"/>
      <c r="N714" s="91" t="n"/>
      <c r="O714" s="91" t="n"/>
      <c r="P714" s="91" t="n"/>
    </row>
    <row r="715" ht="32" customHeight="1">
      <c r="A715" s="92" t="n"/>
      <c r="B715" s="92" t="n"/>
      <c r="C715" s="92" t="n"/>
      <c r="D715" s="92" t="n"/>
      <c r="E715" s="92" t="n"/>
      <c r="F715" s="96" t="n"/>
      <c r="G715" s="96" t="n"/>
      <c r="H715" s="92" t="n"/>
      <c r="I715" s="92" t="n"/>
      <c r="J715" s="92" t="n"/>
      <c r="K715" s="92" t="n"/>
      <c r="L715" s="92" t="n"/>
      <c r="M715" s="97" t="n"/>
      <c r="N715" s="92" t="n"/>
      <c r="O715" s="92" t="n"/>
      <c r="P715" s="92" t="n"/>
    </row>
    <row r="716" ht="32" customHeight="1">
      <c r="A716" s="91" t="n"/>
      <c r="B716" s="91" t="n"/>
      <c r="C716" s="91" t="n"/>
      <c r="D716" s="91" t="n"/>
      <c r="E716" s="91" t="n"/>
      <c r="F716" s="94" t="n"/>
      <c r="G716" s="94" t="n"/>
      <c r="H716" s="91" t="n"/>
      <c r="I716" s="91" t="n"/>
      <c r="J716" s="91" t="n"/>
      <c r="K716" s="91" t="n"/>
      <c r="L716" s="91" t="n"/>
      <c r="M716" s="95" t="n"/>
      <c r="N716" s="91" t="n"/>
      <c r="O716" s="91" t="n"/>
      <c r="P716" s="91" t="n"/>
    </row>
    <row r="717" ht="32" customHeight="1">
      <c r="A717" s="92" t="n"/>
      <c r="B717" s="92" t="n"/>
      <c r="C717" s="92" t="n"/>
      <c r="D717" s="92" t="n"/>
      <c r="E717" s="92" t="n"/>
      <c r="F717" s="96" t="n"/>
      <c r="G717" s="96" t="n"/>
      <c r="H717" s="92" t="n"/>
      <c r="I717" s="92" t="n"/>
      <c r="J717" s="92" t="n"/>
      <c r="K717" s="92" t="n"/>
      <c r="L717" s="92" t="n"/>
      <c r="M717" s="97" t="n"/>
      <c r="N717" s="92" t="n"/>
      <c r="O717" s="92" t="n"/>
      <c r="P717" s="92" t="n"/>
    </row>
    <row r="718" ht="32" customHeight="1">
      <c r="A718" s="91" t="n"/>
      <c r="B718" s="91" t="n"/>
      <c r="C718" s="91" t="n"/>
      <c r="D718" s="91" t="n"/>
      <c r="E718" s="91" t="n"/>
      <c r="F718" s="94" t="n"/>
      <c r="G718" s="94" t="n"/>
      <c r="H718" s="91" t="n"/>
      <c r="I718" s="91" t="n"/>
      <c r="J718" s="91" t="n"/>
      <c r="K718" s="91" t="n"/>
      <c r="L718" s="91" t="n"/>
      <c r="M718" s="95" t="n"/>
      <c r="N718" s="91" t="n"/>
      <c r="O718" s="91" t="n"/>
      <c r="P718" s="91" t="n"/>
    </row>
    <row r="719" ht="32" customHeight="1">
      <c r="A719" s="92" t="n"/>
      <c r="B719" s="92" t="n"/>
      <c r="C719" s="92" t="n"/>
      <c r="D719" s="92" t="n"/>
      <c r="E719" s="92" t="n"/>
      <c r="F719" s="96" t="n"/>
      <c r="G719" s="96" t="n"/>
      <c r="H719" s="92" t="n"/>
      <c r="I719" s="92" t="n"/>
      <c r="J719" s="92" t="n"/>
      <c r="K719" s="92" t="n"/>
      <c r="L719" s="92" t="n"/>
      <c r="M719" s="97" t="n"/>
      <c r="N719" s="92" t="n"/>
      <c r="O719" s="92" t="n"/>
      <c r="P719" s="92" t="n"/>
    </row>
    <row r="720" ht="32" customHeight="1">
      <c r="A720" s="91" t="n"/>
      <c r="B720" s="91" t="n"/>
      <c r="C720" s="91" t="n"/>
      <c r="D720" s="91" t="n"/>
      <c r="E720" s="91" t="n"/>
      <c r="F720" s="94" t="n"/>
      <c r="G720" s="94" t="n"/>
      <c r="H720" s="91" t="n"/>
      <c r="I720" s="91" t="n"/>
      <c r="J720" s="91" t="n"/>
      <c r="K720" s="91" t="n"/>
      <c r="L720" s="91" t="n"/>
      <c r="M720" s="95" t="n"/>
      <c r="N720" s="91" t="n"/>
      <c r="O720" s="91" t="n"/>
      <c r="P720" s="91" t="n"/>
    </row>
    <row r="721" ht="32" customHeight="1">
      <c r="A721" s="92" t="n"/>
      <c r="B721" s="92" t="n"/>
      <c r="C721" s="92" t="n"/>
      <c r="D721" s="92" t="n"/>
      <c r="E721" s="92" t="n"/>
      <c r="F721" s="96" t="n"/>
      <c r="G721" s="96" t="n"/>
      <c r="H721" s="92" t="n"/>
      <c r="I721" s="92" t="n"/>
      <c r="J721" s="92" t="n"/>
      <c r="K721" s="92" t="n"/>
      <c r="L721" s="92" t="n"/>
      <c r="M721" s="97" t="n"/>
      <c r="N721" s="92" t="n"/>
      <c r="O721" s="92" t="n"/>
      <c r="P721" s="92" t="n"/>
    </row>
    <row r="722" ht="32" customHeight="1">
      <c r="A722" s="91" t="n"/>
      <c r="B722" s="91" t="n"/>
      <c r="C722" s="91" t="n"/>
      <c r="D722" s="91" t="n"/>
      <c r="E722" s="91" t="n"/>
      <c r="F722" s="94" t="n"/>
      <c r="G722" s="94" t="n"/>
      <c r="H722" s="91" t="n"/>
      <c r="I722" s="91" t="n"/>
      <c r="J722" s="91" t="n"/>
      <c r="K722" s="91" t="n"/>
      <c r="L722" s="91" t="n"/>
      <c r="M722" s="95" t="n"/>
      <c r="N722" s="91" t="n"/>
      <c r="O722" s="91" t="n"/>
      <c r="P722" s="91" t="n"/>
    </row>
    <row r="723" ht="32" customHeight="1">
      <c r="A723" s="92" t="n"/>
      <c r="B723" s="92" t="n"/>
      <c r="C723" s="92" t="n"/>
      <c r="D723" s="92" t="n"/>
      <c r="E723" s="92" t="n"/>
      <c r="F723" s="96" t="n"/>
      <c r="G723" s="96" t="n"/>
      <c r="H723" s="92" t="n"/>
      <c r="I723" s="92" t="n"/>
      <c r="J723" s="92" t="n"/>
      <c r="K723" s="92" t="n"/>
      <c r="L723" s="92" t="n"/>
      <c r="M723" s="97" t="n"/>
      <c r="N723" s="92" t="n"/>
      <c r="O723" s="92" t="n"/>
      <c r="P723" s="92" t="n"/>
    </row>
    <row r="724" ht="32" customHeight="1">
      <c r="A724" s="91" t="n"/>
      <c r="B724" s="91" t="n"/>
      <c r="C724" s="91" t="n"/>
      <c r="D724" s="91" t="n"/>
      <c r="E724" s="91" t="n"/>
      <c r="F724" s="94" t="n"/>
      <c r="G724" s="94" t="n"/>
      <c r="H724" s="91" t="n"/>
      <c r="I724" s="91" t="n"/>
      <c r="J724" s="91" t="n"/>
      <c r="K724" s="91" t="n"/>
      <c r="L724" s="91" t="n"/>
      <c r="M724" s="95" t="n"/>
      <c r="N724" s="91" t="n"/>
      <c r="O724" s="91" t="n"/>
      <c r="P724" s="91" t="n"/>
    </row>
    <row r="725" ht="32" customHeight="1">
      <c r="A725" s="92" t="n"/>
      <c r="B725" s="92" t="n"/>
      <c r="C725" s="92" t="n"/>
      <c r="D725" s="92" t="n"/>
      <c r="E725" s="92" t="n"/>
      <c r="F725" s="96" t="n"/>
      <c r="G725" s="96" t="n"/>
      <c r="H725" s="92" t="n"/>
      <c r="I725" s="92" t="n"/>
      <c r="J725" s="92" t="n"/>
      <c r="K725" s="92" t="n"/>
      <c r="L725" s="92" t="n"/>
      <c r="M725" s="97" t="n"/>
      <c r="N725" s="92" t="n"/>
      <c r="O725" s="92" t="n"/>
      <c r="P725" s="92" t="n"/>
    </row>
    <row r="726" ht="32" customHeight="1">
      <c r="A726" s="91" t="n"/>
      <c r="B726" s="91" t="n"/>
      <c r="C726" s="91" t="n"/>
      <c r="D726" s="91" t="n"/>
      <c r="E726" s="91" t="n"/>
      <c r="F726" s="94" t="n"/>
      <c r="G726" s="94" t="n"/>
      <c r="H726" s="91" t="n"/>
      <c r="I726" s="91" t="n"/>
      <c r="J726" s="91" t="n"/>
      <c r="K726" s="91" t="n"/>
      <c r="L726" s="91" t="n"/>
      <c r="M726" s="95" t="n"/>
      <c r="N726" s="91" t="n"/>
      <c r="O726" s="91" t="n"/>
      <c r="P726" s="91" t="n"/>
    </row>
    <row r="727" ht="32" customHeight="1">
      <c r="A727" s="92" t="n"/>
      <c r="B727" s="92" t="n"/>
      <c r="C727" s="92" t="n"/>
      <c r="D727" s="92" t="n"/>
      <c r="E727" s="92" t="n"/>
      <c r="F727" s="96" t="n"/>
      <c r="G727" s="96" t="n"/>
      <c r="H727" s="92" t="n"/>
      <c r="I727" s="92" t="n"/>
      <c r="J727" s="92" t="n"/>
      <c r="K727" s="92" t="n"/>
      <c r="L727" s="92" t="n"/>
      <c r="M727" s="97" t="n"/>
      <c r="N727" s="92" t="n"/>
      <c r="O727" s="92" t="n"/>
      <c r="P727" s="92" t="n"/>
    </row>
    <row r="728" ht="32" customHeight="1">
      <c r="A728" s="91" t="n"/>
      <c r="B728" s="91" t="n"/>
      <c r="C728" s="91" t="n"/>
      <c r="D728" s="91" t="n"/>
      <c r="E728" s="91" t="n"/>
      <c r="F728" s="94" t="n"/>
      <c r="G728" s="94" t="n"/>
      <c r="H728" s="91" t="n"/>
      <c r="I728" s="91" t="n"/>
      <c r="J728" s="91" t="n"/>
      <c r="K728" s="91" t="n"/>
      <c r="L728" s="91" t="n"/>
      <c r="M728" s="95" t="n"/>
      <c r="N728" s="91" t="n"/>
      <c r="O728" s="91" t="n"/>
      <c r="P728" s="91" t="n"/>
    </row>
    <row r="729" ht="32" customHeight="1">
      <c r="A729" s="92" t="n"/>
      <c r="B729" s="92" t="n"/>
      <c r="C729" s="92" t="n"/>
      <c r="D729" s="92" t="n"/>
      <c r="E729" s="92" t="n"/>
      <c r="F729" s="96" t="n"/>
      <c r="G729" s="96" t="n"/>
      <c r="H729" s="92" t="n"/>
      <c r="I729" s="92" t="n"/>
      <c r="J729" s="92" t="n"/>
      <c r="K729" s="92" t="n"/>
      <c r="L729" s="92" t="n"/>
      <c r="M729" s="97" t="n"/>
      <c r="N729" s="92" t="n"/>
      <c r="O729" s="92" t="n"/>
      <c r="P729" s="92" t="n"/>
    </row>
    <row r="730" ht="32" customHeight="1">
      <c r="A730" s="91" t="n"/>
      <c r="B730" s="91" t="n"/>
      <c r="C730" s="91" t="n"/>
      <c r="D730" s="91" t="n"/>
      <c r="E730" s="91" t="n"/>
      <c r="F730" s="94" t="n"/>
      <c r="G730" s="94" t="n"/>
      <c r="H730" s="91" t="n"/>
      <c r="I730" s="91" t="n"/>
      <c r="J730" s="91" t="n"/>
      <c r="K730" s="91" t="n"/>
      <c r="L730" s="91" t="n"/>
      <c r="M730" s="95" t="n"/>
      <c r="N730" s="91" t="n"/>
      <c r="O730" s="91" t="n"/>
      <c r="P730" s="91" t="n"/>
    </row>
    <row r="731" ht="32" customHeight="1">
      <c r="A731" s="92" t="n"/>
      <c r="B731" s="92" t="n"/>
      <c r="C731" s="92" t="n"/>
      <c r="D731" s="92" t="n"/>
      <c r="E731" s="92" t="n"/>
      <c r="F731" s="96" t="n"/>
      <c r="G731" s="96" t="n"/>
      <c r="H731" s="92" t="n"/>
      <c r="I731" s="92" t="n"/>
      <c r="J731" s="92" t="n"/>
      <c r="K731" s="92" t="n"/>
      <c r="L731" s="92" t="n"/>
      <c r="M731" s="97" t="n"/>
      <c r="N731" s="92" t="n"/>
      <c r="O731" s="92" t="n"/>
      <c r="P731" s="92" t="n"/>
    </row>
    <row r="732" ht="32" customHeight="1">
      <c r="A732" s="91" t="n"/>
      <c r="B732" s="91" t="n"/>
      <c r="C732" s="91" t="n"/>
      <c r="D732" s="91" t="n"/>
      <c r="E732" s="91" t="n"/>
      <c r="F732" s="94" t="n"/>
      <c r="G732" s="94" t="n"/>
      <c r="H732" s="91" t="n"/>
      <c r="I732" s="91" t="n"/>
      <c r="J732" s="91" t="n"/>
      <c r="K732" s="91" t="n"/>
      <c r="L732" s="91" t="n"/>
      <c r="M732" s="95" t="n"/>
      <c r="N732" s="91" t="n"/>
      <c r="O732" s="91" t="n"/>
      <c r="P732" s="91" t="n"/>
    </row>
    <row r="733" ht="32" customHeight="1">
      <c r="A733" s="92" t="n"/>
      <c r="B733" s="92" t="n"/>
      <c r="C733" s="92" t="n"/>
      <c r="D733" s="92" t="n"/>
      <c r="E733" s="92" t="n"/>
      <c r="F733" s="96" t="n"/>
      <c r="G733" s="96" t="n"/>
      <c r="H733" s="92" t="n"/>
      <c r="I733" s="92" t="n"/>
      <c r="J733" s="92" t="n"/>
      <c r="K733" s="92" t="n"/>
      <c r="L733" s="92" t="n"/>
      <c r="M733" s="97" t="n"/>
      <c r="N733" s="92" t="n"/>
      <c r="O733" s="92" t="n"/>
      <c r="P733" s="92" t="n"/>
    </row>
    <row r="734" ht="32" customHeight="1">
      <c r="A734" s="91" t="n"/>
      <c r="B734" s="91" t="n"/>
      <c r="C734" s="91" t="n"/>
      <c r="D734" s="91" t="n"/>
      <c r="E734" s="91" t="n"/>
      <c r="F734" s="94" t="n"/>
      <c r="G734" s="94" t="n"/>
      <c r="H734" s="91" t="n"/>
      <c r="I734" s="91" t="n"/>
      <c r="J734" s="91" t="n"/>
      <c r="K734" s="91" t="n"/>
      <c r="L734" s="91" t="n"/>
      <c r="M734" s="95" t="n"/>
      <c r="N734" s="91" t="n"/>
      <c r="O734" s="91" t="n"/>
      <c r="P734" s="91" t="n"/>
    </row>
    <row r="735" ht="32" customHeight="1">
      <c r="A735" s="92" t="n"/>
      <c r="B735" s="92" t="n"/>
      <c r="C735" s="92" t="n"/>
      <c r="D735" s="92" t="n"/>
      <c r="E735" s="92" t="n"/>
      <c r="F735" s="96" t="n"/>
      <c r="G735" s="96" t="n"/>
      <c r="H735" s="92" t="n"/>
      <c r="I735" s="92" t="n"/>
      <c r="J735" s="92" t="n"/>
      <c r="K735" s="92" t="n"/>
      <c r="L735" s="92" t="n"/>
      <c r="M735" s="97" t="n"/>
      <c r="N735" s="92" t="n"/>
      <c r="O735" s="92" t="n"/>
      <c r="P735" s="92" t="n"/>
    </row>
    <row r="736" ht="32" customHeight="1">
      <c r="A736" s="91" t="n"/>
      <c r="B736" s="91" t="n"/>
      <c r="C736" s="91" t="n"/>
      <c r="D736" s="91" t="n"/>
      <c r="E736" s="91" t="n"/>
      <c r="F736" s="94" t="n"/>
      <c r="G736" s="94" t="n"/>
      <c r="H736" s="91" t="n"/>
      <c r="I736" s="91" t="n"/>
      <c r="J736" s="91" t="n"/>
      <c r="K736" s="91" t="n"/>
      <c r="L736" s="91" t="n"/>
      <c r="M736" s="95" t="n"/>
      <c r="N736" s="91" t="n"/>
      <c r="O736" s="91" t="n"/>
      <c r="P736" s="91" t="n"/>
    </row>
    <row r="737" ht="32" customHeight="1">
      <c r="A737" s="92" t="n"/>
      <c r="B737" s="92" t="n"/>
      <c r="C737" s="92" t="n"/>
      <c r="D737" s="92" t="n"/>
      <c r="E737" s="92" t="n"/>
      <c r="F737" s="96" t="n"/>
      <c r="G737" s="96" t="n"/>
      <c r="H737" s="92" t="n"/>
      <c r="I737" s="92" t="n"/>
      <c r="J737" s="92" t="n"/>
      <c r="K737" s="92" t="n"/>
      <c r="L737" s="92" t="n"/>
      <c r="M737" s="97" t="n"/>
      <c r="N737" s="92" t="n"/>
      <c r="O737" s="92" t="n"/>
      <c r="P737" s="92" t="n"/>
    </row>
    <row r="738" ht="32" customHeight="1">
      <c r="A738" s="91" t="n"/>
      <c r="B738" s="91" t="n"/>
      <c r="C738" s="91" t="n"/>
      <c r="D738" s="91" t="n"/>
      <c r="E738" s="91" t="n"/>
      <c r="F738" s="94" t="n"/>
      <c r="G738" s="94" t="n"/>
      <c r="H738" s="91" t="n"/>
      <c r="I738" s="91" t="n"/>
      <c r="J738" s="91" t="n"/>
      <c r="K738" s="91" t="n"/>
      <c r="L738" s="91" t="n"/>
      <c r="M738" s="95" t="n"/>
      <c r="N738" s="91" t="n"/>
      <c r="O738" s="91" t="n"/>
      <c r="P738" s="91" t="n"/>
    </row>
    <row r="739" ht="32" customHeight="1">
      <c r="A739" s="92" t="n"/>
      <c r="B739" s="92" t="n"/>
      <c r="C739" s="92" t="n"/>
      <c r="D739" s="92" t="n"/>
      <c r="E739" s="92" t="n"/>
      <c r="F739" s="96" t="n"/>
      <c r="G739" s="96" t="n"/>
      <c r="H739" s="92" t="n"/>
      <c r="I739" s="92" t="n"/>
      <c r="J739" s="92" t="n"/>
      <c r="K739" s="92" t="n"/>
      <c r="L739" s="92" t="n"/>
      <c r="M739" s="97" t="n"/>
      <c r="N739" s="92" t="n"/>
      <c r="O739" s="92" t="n"/>
      <c r="P739" s="92" t="n"/>
    </row>
    <row r="740" ht="32" customHeight="1">
      <c r="A740" s="91" t="n"/>
      <c r="B740" s="91" t="n"/>
      <c r="C740" s="91" t="n"/>
      <c r="D740" s="91" t="n"/>
      <c r="E740" s="91" t="n"/>
      <c r="F740" s="94" t="n"/>
      <c r="G740" s="94" t="n"/>
      <c r="H740" s="91" t="n"/>
      <c r="I740" s="91" t="n"/>
      <c r="J740" s="91" t="n"/>
      <c r="K740" s="91" t="n"/>
      <c r="L740" s="91" t="n"/>
      <c r="M740" s="95" t="n"/>
      <c r="N740" s="91" t="n"/>
      <c r="O740" s="91" t="n"/>
      <c r="P740" s="91" t="n"/>
    </row>
    <row r="741" ht="32" customHeight="1">
      <c r="A741" s="92" t="n"/>
      <c r="B741" s="92" t="n"/>
      <c r="C741" s="92" t="n"/>
      <c r="D741" s="92" t="n"/>
      <c r="E741" s="92" t="n"/>
      <c r="F741" s="96" t="n"/>
      <c r="G741" s="96" t="n"/>
      <c r="H741" s="92" t="n"/>
      <c r="I741" s="92" t="n"/>
      <c r="J741" s="92" t="n"/>
      <c r="K741" s="92" t="n"/>
      <c r="L741" s="92" t="n"/>
      <c r="M741" s="97" t="n"/>
      <c r="N741" s="92" t="n"/>
      <c r="O741" s="92" t="n"/>
      <c r="P741" s="92" t="n"/>
    </row>
    <row r="742" ht="32" customHeight="1">
      <c r="A742" s="91" t="n"/>
      <c r="B742" s="91" t="n"/>
      <c r="C742" s="91" t="n"/>
      <c r="D742" s="91" t="n"/>
      <c r="E742" s="91" t="n"/>
      <c r="F742" s="94" t="n"/>
      <c r="G742" s="94" t="n"/>
      <c r="H742" s="91" t="n"/>
      <c r="I742" s="91" t="n"/>
      <c r="J742" s="91" t="n"/>
      <c r="K742" s="91" t="n"/>
      <c r="L742" s="91" t="n"/>
      <c r="M742" s="95" t="n"/>
      <c r="N742" s="91" t="n"/>
      <c r="O742" s="91" t="n"/>
      <c r="P742" s="91" t="n"/>
    </row>
    <row r="743" ht="32" customHeight="1">
      <c r="A743" s="92" t="n"/>
      <c r="B743" s="92" t="n"/>
      <c r="C743" s="92" t="n"/>
      <c r="D743" s="92" t="n"/>
      <c r="E743" s="92" t="n"/>
      <c r="F743" s="96" t="n"/>
      <c r="G743" s="96" t="n"/>
      <c r="H743" s="92" t="n"/>
      <c r="I743" s="92" t="n"/>
      <c r="J743" s="92" t="n"/>
      <c r="K743" s="92" t="n"/>
      <c r="L743" s="92" t="n"/>
      <c r="M743" s="97" t="n"/>
      <c r="N743" s="92" t="n"/>
      <c r="O743" s="92" t="n"/>
      <c r="P743" s="92" t="n"/>
    </row>
    <row r="744" ht="32" customHeight="1">
      <c r="A744" s="91" t="n"/>
      <c r="B744" s="91" t="n"/>
      <c r="C744" s="91" t="n"/>
      <c r="D744" s="91" t="n"/>
      <c r="E744" s="91" t="n"/>
      <c r="F744" s="94" t="n"/>
      <c r="G744" s="94" t="n"/>
      <c r="H744" s="91" t="n"/>
      <c r="I744" s="91" t="n"/>
      <c r="J744" s="91" t="n"/>
      <c r="K744" s="91" t="n"/>
      <c r="L744" s="91" t="n"/>
      <c r="M744" s="95" t="n"/>
      <c r="N744" s="91" t="n"/>
      <c r="O744" s="91" t="n"/>
      <c r="P744" s="91" t="n"/>
    </row>
    <row r="745" ht="32" customHeight="1">
      <c r="A745" s="92" t="n"/>
      <c r="B745" s="92" t="n"/>
      <c r="C745" s="92" t="n"/>
      <c r="D745" s="92" t="n"/>
      <c r="E745" s="92" t="n"/>
      <c r="F745" s="96" t="n"/>
      <c r="G745" s="96" t="n"/>
      <c r="H745" s="92" t="n"/>
      <c r="I745" s="92" t="n"/>
      <c r="J745" s="92" t="n"/>
      <c r="K745" s="92" t="n"/>
      <c r="L745" s="92" t="n"/>
      <c r="M745" s="97" t="n"/>
      <c r="N745" s="92" t="n"/>
      <c r="O745" s="92" t="n"/>
      <c r="P745" s="92" t="n"/>
    </row>
    <row r="746" ht="32" customHeight="1">
      <c r="A746" s="91" t="n"/>
      <c r="B746" s="91" t="n"/>
      <c r="C746" s="91" t="n"/>
      <c r="D746" s="91" t="n"/>
      <c r="E746" s="91" t="n"/>
      <c r="F746" s="94" t="n"/>
      <c r="G746" s="94" t="n"/>
      <c r="H746" s="91" t="n"/>
      <c r="I746" s="91" t="n"/>
      <c r="J746" s="91" t="n"/>
      <c r="K746" s="91" t="n"/>
      <c r="L746" s="91" t="n"/>
      <c r="M746" s="95" t="n"/>
      <c r="N746" s="91" t="n"/>
      <c r="O746" s="91" t="n"/>
      <c r="P746" s="91" t="n"/>
    </row>
    <row r="747" ht="32" customHeight="1">
      <c r="A747" s="92" t="n"/>
      <c r="B747" s="92" t="n"/>
      <c r="C747" s="92" t="n"/>
      <c r="D747" s="92" t="n"/>
      <c r="E747" s="92" t="n"/>
      <c r="F747" s="96" t="n"/>
      <c r="G747" s="96" t="n"/>
      <c r="H747" s="92" t="n"/>
      <c r="I747" s="92" t="n"/>
      <c r="J747" s="92" t="n"/>
      <c r="K747" s="92" t="n"/>
      <c r="L747" s="92" t="n"/>
      <c r="M747" s="97" t="n"/>
      <c r="N747" s="92" t="n"/>
      <c r="O747" s="92" t="n"/>
      <c r="P747" s="92" t="n"/>
    </row>
    <row r="748" ht="32" customHeight="1">
      <c r="A748" s="91" t="n"/>
      <c r="B748" s="91" t="n"/>
      <c r="C748" s="91" t="n"/>
      <c r="D748" s="91" t="n"/>
      <c r="E748" s="91" t="n"/>
      <c r="F748" s="94" t="n"/>
      <c r="G748" s="94" t="n"/>
      <c r="H748" s="91" t="n"/>
      <c r="I748" s="91" t="n"/>
      <c r="J748" s="91" t="n"/>
      <c r="K748" s="91" t="n"/>
      <c r="L748" s="91" t="n"/>
      <c r="M748" s="95" t="n"/>
      <c r="N748" s="91" t="n"/>
      <c r="O748" s="91" t="n"/>
      <c r="P748" s="91" t="n"/>
    </row>
    <row r="749" ht="32" customHeight="1">
      <c r="A749" s="92" t="n"/>
      <c r="B749" s="92" t="n"/>
      <c r="C749" s="92" t="n"/>
      <c r="D749" s="92" t="n"/>
      <c r="E749" s="92" t="n"/>
      <c r="F749" s="96" t="n"/>
      <c r="G749" s="96" t="n"/>
      <c r="H749" s="92" t="n"/>
      <c r="I749" s="92" t="n"/>
      <c r="J749" s="92" t="n"/>
      <c r="K749" s="92" t="n"/>
      <c r="L749" s="92" t="n"/>
      <c r="M749" s="97" t="n"/>
      <c r="N749" s="92" t="n"/>
      <c r="O749" s="92" t="n"/>
      <c r="P749" s="92" t="n"/>
    </row>
    <row r="750" ht="32" customHeight="1">
      <c r="A750" s="91" t="n"/>
      <c r="B750" s="91" t="n"/>
      <c r="C750" s="91" t="n"/>
      <c r="D750" s="91" t="n"/>
      <c r="E750" s="91" t="n"/>
      <c r="F750" s="94" t="n"/>
      <c r="G750" s="94" t="n"/>
      <c r="H750" s="91" t="n"/>
      <c r="I750" s="91" t="n"/>
      <c r="J750" s="91" t="n"/>
      <c r="K750" s="91" t="n"/>
      <c r="L750" s="91" t="n"/>
      <c r="M750" s="95" t="n"/>
      <c r="N750" s="91" t="n"/>
      <c r="O750" s="91" t="n"/>
      <c r="P750" s="91" t="n"/>
    </row>
    <row r="751" ht="32" customHeight="1">
      <c r="A751" s="92" t="n"/>
      <c r="B751" s="92" t="n"/>
      <c r="C751" s="92" t="n"/>
      <c r="D751" s="92" t="n"/>
      <c r="E751" s="92" t="n"/>
      <c r="F751" s="96" t="n"/>
      <c r="G751" s="96" t="n"/>
      <c r="H751" s="92" t="n"/>
      <c r="I751" s="92" t="n"/>
      <c r="J751" s="92" t="n"/>
      <c r="K751" s="92" t="n"/>
      <c r="L751" s="92" t="n"/>
      <c r="M751" s="97" t="n"/>
      <c r="N751" s="92" t="n"/>
      <c r="O751" s="92" t="n"/>
      <c r="P751" s="92" t="n"/>
    </row>
    <row r="752" ht="32" customHeight="1">
      <c r="A752" s="91" t="n"/>
      <c r="B752" s="91" t="n"/>
      <c r="C752" s="91" t="n"/>
      <c r="D752" s="91" t="n"/>
      <c r="E752" s="91" t="n"/>
      <c r="F752" s="94" t="n"/>
      <c r="G752" s="94" t="n"/>
      <c r="H752" s="91" t="n"/>
      <c r="I752" s="91" t="n"/>
      <c r="J752" s="91" t="n"/>
      <c r="K752" s="91" t="n"/>
      <c r="L752" s="91" t="n"/>
      <c r="M752" s="95" t="n"/>
      <c r="N752" s="91" t="n"/>
      <c r="O752" s="91" t="n"/>
      <c r="P752" s="91" t="n"/>
    </row>
    <row r="753" ht="32" customHeight="1">
      <c r="A753" s="92" t="n"/>
      <c r="B753" s="92" t="n"/>
      <c r="C753" s="92" t="n"/>
      <c r="D753" s="92" t="n"/>
      <c r="E753" s="92" t="n"/>
      <c r="F753" s="96" t="n"/>
      <c r="G753" s="96" t="n"/>
      <c r="H753" s="92" t="n"/>
      <c r="I753" s="92" t="n"/>
      <c r="J753" s="92" t="n"/>
      <c r="K753" s="92" t="n"/>
      <c r="L753" s="92" t="n"/>
      <c r="M753" s="97" t="n"/>
      <c r="N753" s="92" t="n"/>
      <c r="O753" s="92" t="n"/>
      <c r="P753" s="92" t="n"/>
    </row>
    <row r="754" ht="32" customHeight="1">
      <c r="A754" s="91" t="n"/>
      <c r="B754" s="91" t="n"/>
      <c r="C754" s="91" t="n"/>
      <c r="D754" s="91" t="n"/>
      <c r="E754" s="91" t="n"/>
      <c r="F754" s="94" t="n"/>
      <c r="G754" s="94" t="n"/>
      <c r="H754" s="91" t="n"/>
      <c r="I754" s="91" t="n"/>
      <c r="J754" s="91" t="n"/>
      <c r="K754" s="91" t="n"/>
      <c r="L754" s="91" t="n"/>
      <c r="M754" s="95" t="n"/>
      <c r="N754" s="91" t="n"/>
      <c r="O754" s="91" t="n"/>
      <c r="P754" s="91" t="n"/>
    </row>
    <row r="755" ht="32" customHeight="1">
      <c r="A755" s="92" t="n"/>
      <c r="B755" s="92" t="n"/>
      <c r="C755" s="92" t="n"/>
      <c r="D755" s="92" t="n"/>
      <c r="E755" s="92" t="n"/>
      <c r="F755" s="96" t="n"/>
      <c r="G755" s="96" t="n"/>
      <c r="H755" s="92" t="n"/>
      <c r="I755" s="92" t="n"/>
      <c r="J755" s="92" t="n"/>
      <c r="K755" s="92" t="n"/>
      <c r="L755" s="92" t="n"/>
      <c r="M755" s="97" t="n"/>
      <c r="N755" s="92" t="n"/>
      <c r="O755" s="92" t="n"/>
      <c r="P755" s="92" t="n"/>
    </row>
    <row r="756" ht="32" customHeight="1">
      <c r="A756" s="91" t="n"/>
      <c r="B756" s="91" t="n"/>
      <c r="C756" s="91" t="n"/>
      <c r="D756" s="91" t="n"/>
      <c r="E756" s="91" t="n"/>
      <c r="F756" s="94" t="n"/>
      <c r="G756" s="94" t="n"/>
      <c r="H756" s="91" t="n"/>
      <c r="I756" s="91" t="n"/>
      <c r="J756" s="91" t="n"/>
      <c r="K756" s="91" t="n"/>
      <c r="L756" s="91" t="n"/>
      <c r="M756" s="95" t="n"/>
      <c r="N756" s="91" t="n"/>
      <c r="O756" s="91" t="n"/>
      <c r="P756" s="91" t="n"/>
    </row>
    <row r="757" ht="32" customHeight="1">
      <c r="A757" s="92" t="n"/>
      <c r="B757" s="92" t="n"/>
      <c r="C757" s="92" t="n"/>
      <c r="D757" s="92" t="n"/>
      <c r="E757" s="92" t="n"/>
      <c r="F757" s="96" t="n"/>
      <c r="G757" s="96" t="n"/>
      <c r="H757" s="92" t="n"/>
      <c r="I757" s="92" t="n"/>
      <c r="J757" s="92" t="n"/>
      <c r="K757" s="92" t="n"/>
      <c r="L757" s="92" t="n"/>
      <c r="M757" s="97" t="n"/>
      <c r="N757" s="92" t="n"/>
      <c r="O757" s="92" t="n"/>
      <c r="P757" s="92" t="n"/>
    </row>
    <row r="758" ht="32" customHeight="1">
      <c r="A758" s="91" t="n"/>
      <c r="B758" s="91" t="n"/>
      <c r="C758" s="91" t="n"/>
      <c r="D758" s="91" t="n"/>
      <c r="E758" s="91" t="n"/>
      <c r="F758" s="94" t="n"/>
      <c r="G758" s="94" t="n"/>
      <c r="H758" s="91" t="n"/>
      <c r="I758" s="91" t="n"/>
      <c r="J758" s="91" t="n"/>
      <c r="K758" s="91" t="n"/>
      <c r="L758" s="91" t="n"/>
      <c r="M758" s="95" t="n"/>
      <c r="N758" s="91" t="n"/>
      <c r="O758" s="91" t="n"/>
      <c r="P758" s="91" t="n"/>
    </row>
    <row r="759" ht="32" customHeight="1">
      <c r="A759" s="92" t="n"/>
      <c r="B759" s="92" t="n"/>
      <c r="C759" s="92" t="n"/>
      <c r="D759" s="92" t="n"/>
      <c r="E759" s="92" t="n"/>
      <c r="F759" s="96" t="n"/>
      <c r="G759" s="96" t="n"/>
      <c r="H759" s="92" t="n"/>
      <c r="I759" s="92" t="n"/>
      <c r="J759" s="92" t="n"/>
      <c r="K759" s="92" t="n"/>
      <c r="L759" s="92" t="n"/>
      <c r="M759" s="97" t="n"/>
      <c r="N759" s="92" t="n"/>
      <c r="O759" s="92" t="n"/>
      <c r="P759" s="92" t="n"/>
    </row>
    <row r="760" ht="32" customHeight="1">
      <c r="A760" s="91" t="n"/>
      <c r="B760" s="91" t="n"/>
      <c r="C760" s="91" t="n"/>
      <c r="D760" s="91" t="n"/>
      <c r="E760" s="91" t="n"/>
      <c r="F760" s="94" t="n"/>
      <c r="G760" s="94" t="n"/>
      <c r="H760" s="91" t="n"/>
      <c r="I760" s="91" t="n"/>
      <c r="J760" s="91" t="n"/>
      <c r="K760" s="91" t="n"/>
      <c r="L760" s="91" t="n"/>
      <c r="M760" s="95" t="n"/>
      <c r="N760" s="91" t="n"/>
      <c r="O760" s="91" t="n"/>
      <c r="P760" s="91" t="n"/>
    </row>
    <row r="761" ht="32" customHeight="1">
      <c r="A761" s="92" t="n"/>
      <c r="B761" s="92" t="n"/>
      <c r="C761" s="92" t="n"/>
      <c r="D761" s="92" t="n"/>
      <c r="E761" s="92" t="n"/>
      <c r="F761" s="96" t="n"/>
      <c r="G761" s="96" t="n"/>
      <c r="H761" s="92" t="n"/>
      <c r="I761" s="92" t="n"/>
      <c r="J761" s="92" t="n"/>
      <c r="K761" s="92" t="n"/>
      <c r="L761" s="92" t="n"/>
      <c r="M761" s="97" t="n"/>
      <c r="N761" s="92" t="n"/>
      <c r="O761" s="92" t="n"/>
      <c r="P761" s="92" t="n"/>
    </row>
    <row r="762" ht="32" customHeight="1">
      <c r="A762" s="91" t="n"/>
      <c r="B762" s="91" t="n"/>
      <c r="C762" s="91" t="n"/>
      <c r="D762" s="91" t="n"/>
      <c r="E762" s="91" t="n"/>
      <c r="F762" s="94" t="n"/>
      <c r="G762" s="94" t="n"/>
      <c r="H762" s="91" t="n"/>
      <c r="I762" s="91" t="n"/>
      <c r="J762" s="91" t="n"/>
      <c r="K762" s="91" t="n"/>
      <c r="L762" s="91" t="n"/>
      <c r="M762" s="95" t="n"/>
      <c r="N762" s="91" t="n"/>
      <c r="O762" s="91" t="n"/>
      <c r="P762" s="91" t="n"/>
    </row>
    <row r="763" ht="32" customHeight="1">
      <c r="A763" s="92" t="n"/>
      <c r="B763" s="92" t="n"/>
      <c r="C763" s="92" t="n"/>
      <c r="D763" s="92" t="n"/>
      <c r="E763" s="92" t="n"/>
      <c r="F763" s="96" t="n"/>
      <c r="G763" s="96" t="n"/>
      <c r="H763" s="92" t="n"/>
      <c r="I763" s="92" t="n"/>
      <c r="J763" s="92" t="n"/>
      <c r="K763" s="92" t="n"/>
      <c r="L763" s="92" t="n"/>
      <c r="M763" s="97" t="n"/>
      <c r="N763" s="92" t="n"/>
      <c r="O763" s="92" t="n"/>
      <c r="P763" s="92" t="n"/>
    </row>
    <row r="764" ht="32" customHeight="1">
      <c r="A764" s="91" t="n"/>
      <c r="B764" s="91" t="n"/>
      <c r="C764" s="91" t="n"/>
      <c r="D764" s="91" t="n"/>
      <c r="E764" s="91" t="n"/>
      <c r="F764" s="94" t="n"/>
      <c r="G764" s="94" t="n"/>
      <c r="H764" s="91" t="n"/>
      <c r="I764" s="91" t="n"/>
      <c r="J764" s="91" t="n"/>
      <c r="K764" s="91" t="n"/>
      <c r="L764" s="91" t="n"/>
      <c r="M764" s="95" t="n"/>
      <c r="N764" s="91" t="n"/>
      <c r="O764" s="91" t="n"/>
      <c r="P764" s="91" t="n"/>
    </row>
    <row r="765" ht="32" customHeight="1">
      <c r="A765" s="92" t="n"/>
      <c r="B765" s="92" t="n"/>
      <c r="C765" s="92" t="n"/>
      <c r="D765" s="92" t="n"/>
      <c r="E765" s="92" t="n"/>
      <c r="F765" s="96" t="n"/>
      <c r="G765" s="96" t="n"/>
      <c r="H765" s="92" t="n"/>
      <c r="I765" s="92" t="n"/>
      <c r="J765" s="92" t="n"/>
      <c r="K765" s="92" t="n"/>
      <c r="L765" s="92" t="n"/>
      <c r="M765" s="97" t="n"/>
      <c r="N765" s="92" t="n"/>
      <c r="O765" s="92" t="n"/>
      <c r="P765" s="92" t="n"/>
    </row>
    <row r="766" ht="32" customHeight="1">
      <c r="A766" s="91" t="n"/>
      <c r="B766" s="91" t="n"/>
      <c r="C766" s="91" t="n"/>
      <c r="D766" s="91" t="n"/>
      <c r="E766" s="91" t="n"/>
      <c r="F766" s="94" t="n"/>
      <c r="G766" s="94" t="n"/>
      <c r="H766" s="91" t="n"/>
      <c r="I766" s="91" t="n"/>
      <c r="J766" s="91" t="n"/>
      <c r="K766" s="91" t="n"/>
      <c r="L766" s="91" t="n"/>
      <c r="M766" s="95" t="n"/>
      <c r="N766" s="91" t="n"/>
      <c r="O766" s="91" t="n"/>
      <c r="P766" s="91" t="n"/>
    </row>
    <row r="767" ht="32" customHeight="1">
      <c r="A767" s="92" t="n"/>
      <c r="B767" s="92" t="n"/>
      <c r="C767" s="92" t="n"/>
      <c r="D767" s="92" t="n"/>
      <c r="E767" s="92" t="n"/>
      <c r="F767" s="96" t="n"/>
      <c r="G767" s="96" t="n"/>
      <c r="H767" s="92" t="n"/>
      <c r="I767" s="92" t="n"/>
      <c r="J767" s="92" t="n"/>
      <c r="K767" s="92" t="n"/>
      <c r="L767" s="92" t="n"/>
      <c r="M767" s="97" t="n"/>
      <c r="N767" s="92" t="n"/>
      <c r="O767" s="92" t="n"/>
      <c r="P767" s="92" t="n"/>
    </row>
    <row r="768" ht="32" customHeight="1">
      <c r="A768" s="91" t="n"/>
      <c r="B768" s="91" t="n"/>
      <c r="C768" s="91" t="n"/>
      <c r="D768" s="91" t="n"/>
      <c r="E768" s="91" t="n"/>
      <c r="F768" s="94" t="n"/>
      <c r="G768" s="94" t="n"/>
      <c r="H768" s="91" t="n"/>
      <c r="I768" s="91" t="n"/>
      <c r="J768" s="91" t="n"/>
      <c r="K768" s="91" t="n"/>
      <c r="L768" s="91" t="n"/>
      <c r="M768" s="95" t="n"/>
      <c r="N768" s="91" t="n"/>
      <c r="O768" s="91" t="n"/>
      <c r="P768" s="91" t="n"/>
    </row>
    <row r="769" ht="32" customHeight="1">
      <c r="A769" s="92" t="n"/>
      <c r="B769" s="92" t="n"/>
      <c r="C769" s="92" t="n"/>
      <c r="D769" s="92" t="n"/>
      <c r="E769" s="92" t="n"/>
      <c r="F769" s="96" t="n"/>
      <c r="G769" s="96" t="n"/>
      <c r="H769" s="92" t="n"/>
      <c r="I769" s="92" t="n"/>
      <c r="J769" s="92" t="n"/>
      <c r="K769" s="92" t="n"/>
      <c r="L769" s="92" t="n"/>
      <c r="M769" s="97" t="n"/>
      <c r="N769" s="92" t="n"/>
      <c r="O769" s="92" t="n"/>
      <c r="P769" s="92" t="n"/>
    </row>
    <row r="770" ht="32" customHeight="1">
      <c r="A770" s="91" t="n"/>
      <c r="B770" s="91" t="n"/>
      <c r="C770" s="91" t="n"/>
      <c r="D770" s="91" t="n"/>
      <c r="E770" s="91" t="n"/>
      <c r="F770" s="94" t="n"/>
      <c r="G770" s="94" t="n"/>
      <c r="H770" s="91" t="n"/>
      <c r="I770" s="91" t="n"/>
      <c r="J770" s="91" t="n"/>
      <c r="K770" s="91" t="n"/>
      <c r="L770" s="91" t="n"/>
      <c r="M770" s="95" t="n"/>
      <c r="N770" s="91" t="n"/>
      <c r="O770" s="91" t="n"/>
      <c r="P770" s="91" t="n"/>
    </row>
    <row r="771" ht="32" customHeight="1">
      <c r="A771" s="92" t="n"/>
      <c r="B771" s="92" t="n"/>
      <c r="C771" s="92" t="n"/>
      <c r="D771" s="92" t="n"/>
      <c r="E771" s="92" t="n"/>
      <c r="F771" s="96" t="n"/>
      <c r="G771" s="96" t="n"/>
      <c r="H771" s="92" t="n"/>
      <c r="I771" s="92" t="n"/>
      <c r="J771" s="92" t="n"/>
      <c r="K771" s="92" t="n"/>
      <c r="L771" s="92" t="n"/>
      <c r="M771" s="97" t="n"/>
      <c r="N771" s="92" t="n"/>
      <c r="O771" s="92" t="n"/>
      <c r="P771" s="92" t="n"/>
    </row>
    <row r="772" ht="32" customHeight="1">
      <c r="A772" s="91" t="n"/>
      <c r="B772" s="91" t="n"/>
      <c r="C772" s="91" t="n"/>
      <c r="D772" s="91" t="n"/>
      <c r="E772" s="91" t="n"/>
      <c r="F772" s="94" t="n"/>
      <c r="G772" s="94" t="n"/>
      <c r="H772" s="91" t="n"/>
      <c r="I772" s="91" t="n"/>
      <c r="J772" s="91" t="n"/>
      <c r="K772" s="91" t="n"/>
      <c r="L772" s="91" t="n"/>
      <c r="M772" s="95" t="n"/>
      <c r="N772" s="91" t="n"/>
      <c r="O772" s="91" t="n"/>
      <c r="P772" s="91" t="n"/>
    </row>
    <row r="773" ht="32" customHeight="1">
      <c r="A773" s="92" t="n"/>
      <c r="B773" s="92" t="n"/>
      <c r="C773" s="92" t="n"/>
      <c r="D773" s="92" t="n"/>
      <c r="E773" s="92" t="n"/>
      <c r="F773" s="96" t="n"/>
      <c r="G773" s="96" t="n"/>
      <c r="H773" s="92" t="n"/>
      <c r="I773" s="92" t="n"/>
      <c r="J773" s="92" t="n"/>
      <c r="K773" s="92" t="n"/>
      <c r="L773" s="92" t="n"/>
      <c r="M773" s="97" t="n"/>
      <c r="N773" s="92" t="n"/>
      <c r="O773" s="92" t="n"/>
      <c r="P773" s="92" t="n"/>
    </row>
    <row r="774" ht="32" customHeight="1">
      <c r="A774" s="91" t="n"/>
      <c r="B774" s="91" t="n"/>
      <c r="C774" s="91" t="n"/>
      <c r="D774" s="91" t="n"/>
      <c r="E774" s="91" t="n"/>
      <c r="F774" s="94" t="n"/>
      <c r="G774" s="94" t="n"/>
      <c r="H774" s="91" t="n"/>
      <c r="I774" s="91" t="n"/>
      <c r="J774" s="91" t="n"/>
      <c r="K774" s="91" t="n"/>
      <c r="L774" s="91" t="n"/>
      <c r="M774" s="95" t="n"/>
      <c r="N774" s="91" t="n"/>
      <c r="O774" s="91" t="n"/>
      <c r="P774" s="91" t="n"/>
    </row>
    <row r="775" ht="32" customHeight="1">
      <c r="A775" s="92" t="n"/>
      <c r="B775" s="92" t="n"/>
      <c r="C775" s="92" t="n"/>
      <c r="D775" s="92" t="n"/>
      <c r="E775" s="92" t="n"/>
      <c r="F775" s="96" t="n"/>
      <c r="G775" s="96" t="n"/>
      <c r="H775" s="92" t="n"/>
      <c r="I775" s="92" t="n"/>
      <c r="J775" s="92" t="n"/>
      <c r="K775" s="92" t="n"/>
      <c r="L775" s="92" t="n"/>
      <c r="M775" s="97" t="n"/>
      <c r="N775" s="92" t="n"/>
      <c r="O775" s="92" t="n"/>
      <c r="P775" s="92" t="n"/>
    </row>
    <row r="776" ht="32" customHeight="1">
      <c r="A776" s="91" t="n"/>
      <c r="B776" s="91" t="n"/>
      <c r="C776" s="91" t="n"/>
      <c r="D776" s="91" t="n"/>
      <c r="E776" s="91" t="n"/>
      <c r="F776" s="94" t="n"/>
      <c r="G776" s="94" t="n"/>
      <c r="H776" s="91" t="n"/>
      <c r="I776" s="91" t="n"/>
      <c r="J776" s="91" t="n"/>
      <c r="K776" s="91" t="n"/>
      <c r="L776" s="91" t="n"/>
      <c r="M776" s="95" t="n"/>
      <c r="N776" s="91" t="n"/>
      <c r="O776" s="91" t="n"/>
      <c r="P776" s="91" t="n"/>
    </row>
    <row r="777" ht="32" customHeight="1">
      <c r="A777" s="92" t="n"/>
      <c r="B777" s="92" t="n"/>
      <c r="C777" s="92" t="n"/>
      <c r="D777" s="92" t="n"/>
      <c r="E777" s="92" t="n"/>
      <c r="F777" s="96" t="n"/>
      <c r="G777" s="96" t="n"/>
      <c r="H777" s="92" t="n"/>
      <c r="I777" s="92" t="n"/>
      <c r="J777" s="92" t="n"/>
      <c r="K777" s="92" t="n"/>
      <c r="L777" s="92" t="n"/>
      <c r="M777" s="97" t="n"/>
      <c r="N777" s="92" t="n"/>
      <c r="O777" s="92" t="n"/>
      <c r="P777" s="92" t="n"/>
    </row>
    <row r="778" ht="32" customHeight="1">
      <c r="A778" s="91" t="n"/>
      <c r="B778" s="91" t="n"/>
      <c r="C778" s="91" t="n"/>
      <c r="D778" s="91" t="n"/>
      <c r="E778" s="91" t="n"/>
      <c r="F778" s="94" t="n"/>
      <c r="G778" s="94" t="n"/>
      <c r="H778" s="91" t="n"/>
      <c r="I778" s="91" t="n"/>
      <c r="J778" s="91" t="n"/>
      <c r="K778" s="91" t="n"/>
      <c r="L778" s="91" t="n"/>
      <c r="M778" s="95" t="n"/>
      <c r="N778" s="91" t="n"/>
      <c r="O778" s="91" t="n"/>
      <c r="P778" s="91" t="n"/>
    </row>
    <row r="779" ht="32" customHeight="1">
      <c r="A779" s="92" t="n"/>
      <c r="B779" s="92" t="n"/>
      <c r="C779" s="92" t="n"/>
      <c r="D779" s="92" t="n"/>
      <c r="E779" s="92" t="n"/>
      <c r="F779" s="96" t="n"/>
      <c r="G779" s="96" t="n"/>
      <c r="H779" s="92" t="n"/>
      <c r="I779" s="92" t="n"/>
      <c r="J779" s="92" t="n"/>
      <c r="K779" s="92" t="n"/>
      <c r="L779" s="92" t="n"/>
      <c r="M779" s="97" t="n"/>
      <c r="N779" s="92" t="n"/>
      <c r="O779" s="92" t="n"/>
      <c r="P779" s="92" t="n"/>
    </row>
    <row r="780" ht="32" customHeight="1">
      <c r="A780" s="91" t="n"/>
      <c r="B780" s="91" t="n"/>
      <c r="C780" s="91" t="n"/>
      <c r="D780" s="91" t="n"/>
      <c r="E780" s="91" t="n"/>
      <c r="F780" s="94" t="n"/>
      <c r="G780" s="94" t="n"/>
      <c r="H780" s="91" t="n"/>
      <c r="I780" s="91" t="n"/>
      <c r="J780" s="91" t="n"/>
      <c r="K780" s="91" t="n"/>
      <c r="L780" s="91" t="n"/>
      <c r="M780" s="95" t="n"/>
      <c r="N780" s="91" t="n"/>
      <c r="O780" s="91" t="n"/>
      <c r="P780" s="91" t="n"/>
    </row>
    <row r="781" ht="32" customHeight="1">
      <c r="A781" s="92" t="n"/>
      <c r="B781" s="92" t="n"/>
      <c r="C781" s="92" t="n"/>
      <c r="D781" s="92" t="n"/>
      <c r="E781" s="92" t="n"/>
      <c r="F781" s="96" t="n"/>
      <c r="G781" s="96" t="n"/>
      <c r="H781" s="92" t="n"/>
      <c r="I781" s="92" t="n"/>
      <c r="J781" s="92" t="n"/>
      <c r="K781" s="92" t="n"/>
      <c r="L781" s="92" t="n"/>
      <c r="M781" s="97" t="n"/>
      <c r="N781" s="92" t="n"/>
      <c r="O781" s="92" t="n"/>
      <c r="P781" s="92" t="n"/>
    </row>
    <row r="782" ht="32" customHeight="1">
      <c r="A782" s="91" t="n"/>
      <c r="B782" s="91" t="n"/>
      <c r="C782" s="91" t="n"/>
      <c r="D782" s="91" t="n"/>
      <c r="E782" s="91" t="n"/>
      <c r="F782" s="94" t="n"/>
      <c r="G782" s="94" t="n"/>
      <c r="H782" s="91" t="n"/>
      <c r="I782" s="91" t="n"/>
      <c r="J782" s="91" t="n"/>
      <c r="K782" s="91" t="n"/>
      <c r="L782" s="91" t="n"/>
      <c r="M782" s="95" t="n"/>
      <c r="N782" s="91" t="n"/>
      <c r="O782" s="91" t="n"/>
      <c r="P782" s="91" t="n"/>
    </row>
    <row r="783" ht="32" customHeight="1">
      <c r="A783" s="92" t="n"/>
      <c r="B783" s="92" t="n"/>
      <c r="C783" s="92" t="n"/>
      <c r="D783" s="92" t="n"/>
      <c r="E783" s="92" t="n"/>
      <c r="F783" s="96" t="n"/>
      <c r="G783" s="96" t="n"/>
      <c r="H783" s="92" t="n"/>
      <c r="I783" s="92" t="n"/>
      <c r="J783" s="92" t="n"/>
      <c r="K783" s="92" t="n"/>
      <c r="L783" s="92" t="n"/>
      <c r="M783" s="97" t="n"/>
      <c r="N783" s="92" t="n"/>
      <c r="O783" s="92" t="n"/>
      <c r="P783" s="92" t="n"/>
    </row>
    <row r="784" ht="32" customHeight="1">
      <c r="A784" s="91" t="n"/>
      <c r="B784" s="91" t="n"/>
      <c r="C784" s="91" t="n"/>
      <c r="D784" s="91" t="n"/>
      <c r="E784" s="91" t="n"/>
      <c r="F784" s="94" t="n"/>
      <c r="G784" s="94" t="n"/>
      <c r="H784" s="91" t="n"/>
      <c r="I784" s="91" t="n"/>
      <c r="J784" s="91" t="n"/>
      <c r="K784" s="91" t="n"/>
      <c r="L784" s="91" t="n"/>
      <c r="M784" s="95" t="n"/>
      <c r="N784" s="91" t="n"/>
      <c r="O784" s="91" t="n"/>
      <c r="P784" s="91" t="n"/>
    </row>
    <row r="785" ht="32" customHeight="1">
      <c r="A785" s="92" t="n"/>
      <c r="B785" s="92" t="n"/>
      <c r="C785" s="92" t="n"/>
      <c r="D785" s="92" t="n"/>
      <c r="E785" s="92" t="n"/>
      <c r="F785" s="96" t="n"/>
      <c r="G785" s="96" t="n"/>
      <c r="H785" s="92" t="n"/>
      <c r="I785" s="92" t="n"/>
      <c r="J785" s="92" t="n"/>
      <c r="K785" s="92" t="n"/>
      <c r="L785" s="92" t="n"/>
      <c r="M785" s="97" t="n"/>
      <c r="N785" s="92" t="n"/>
      <c r="O785" s="92" t="n"/>
      <c r="P785" s="92" t="n"/>
    </row>
    <row r="786" ht="32" customHeight="1">
      <c r="A786" s="91" t="n"/>
      <c r="B786" s="91" t="n"/>
      <c r="C786" s="91" t="n"/>
      <c r="D786" s="91" t="n"/>
      <c r="E786" s="91" t="n"/>
      <c r="F786" s="94" t="n"/>
      <c r="G786" s="94" t="n"/>
      <c r="H786" s="91" t="n"/>
      <c r="I786" s="91" t="n"/>
      <c r="J786" s="91" t="n"/>
      <c r="K786" s="91" t="n"/>
      <c r="L786" s="91" t="n"/>
      <c r="M786" s="95" t="n"/>
      <c r="N786" s="91" t="n"/>
      <c r="O786" s="91" t="n"/>
      <c r="P786" s="91" t="n"/>
    </row>
    <row r="787" ht="32" customHeight="1">
      <c r="A787" s="92" t="n"/>
      <c r="B787" s="92" t="n"/>
      <c r="C787" s="92" t="n"/>
      <c r="D787" s="92" t="n"/>
      <c r="E787" s="92" t="n"/>
      <c r="F787" s="96" t="n"/>
      <c r="G787" s="96" t="n"/>
      <c r="H787" s="92" t="n"/>
      <c r="I787" s="92" t="n"/>
      <c r="J787" s="92" t="n"/>
      <c r="K787" s="92" t="n"/>
      <c r="L787" s="92" t="n"/>
      <c r="M787" s="97" t="n"/>
      <c r="N787" s="92" t="n"/>
      <c r="O787" s="92" t="n"/>
      <c r="P787" s="92" t="n"/>
    </row>
    <row r="788" ht="32" customHeight="1">
      <c r="A788" s="91" t="n"/>
      <c r="B788" s="91" t="n"/>
      <c r="C788" s="91" t="n"/>
      <c r="D788" s="91" t="n"/>
      <c r="E788" s="91" t="n"/>
      <c r="F788" s="94" t="n"/>
      <c r="G788" s="94" t="n"/>
      <c r="H788" s="91" t="n"/>
      <c r="I788" s="91" t="n"/>
      <c r="J788" s="91" t="n"/>
      <c r="K788" s="91" t="n"/>
      <c r="L788" s="91" t="n"/>
      <c r="M788" s="95" t="n"/>
      <c r="N788" s="91" t="n"/>
      <c r="O788" s="91" t="n"/>
      <c r="P788" s="91" t="n"/>
    </row>
    <row r="789" ht="32" customHeight="1">
      <c r="A789" s="92" t="n"/>
      <c r="B789" s="92" t="n"/>
      <c r="C789" s="92" t="n"/>
      <c r="D789" s="92" t="n"/>
      <c r="E789" s="92" t="n"/>
      <c r="F789" s="96" t="n"/>
      <c r="G789" s="96" t="n"/>
      <c r="H789" s="92" t="n"/>
      <c r="I789" s="92" t="n"/>
      <c r="J789" s="92" t="n"/>
      <c r="K789" s="92" t="n"/>
      <c r="L789" s="92" t="n"/>
      <c r="M789" s="97" t="n"/>
      <c r="N789" s="92" t="n"/>
      <c r="O789" s="92" t="n"/>
      <c r="P789" s="92" t="n"/>
    </row>
    <row r="790" ht="32" customHeight="1">
      <c r="A790" s="91" t="n"/>
      <c r="B790" s="91" t="n"/>
      <c r="C790" s="91" t="n"/>
      <c r="D790" s="91" t="n"/>
      <c r="E790" s="91" t="n"/>
      <c r="F790" s="94" t="n"/>
      <c r="G790" s="94" t="n"/>
      <c r="H790" s="91" t="n"/>
      <c r="I790" s="91" t="n"/>
      <c r="J790" s="91" t="n"/>
      <c r="K790" s="91" t="n"/>
      <c r="L790" s="91" t="n"/>
      <c r="M790" s="95" t="n"/>
      <c r="N790" s="91" t="n"/>
      <c r="O790" s="91" t="n"/>
      <c r="P790" s="91" t="n"/>
    </row>
    <row r="791" ht="32" customHeight="1">
      <c r="A791" s="92" t="n"/>
      <c r="B791" s="92" t="n"/>
      <c r="C791" s="92" t="n"/>
      <c r="D791" s="92" t="n"/>
      <c r="E791" s="92" t="n"/>
      <c r="F791" s="96" t="n"/>
      <c r="G791" s="96" t="n"/>
      <c r="H791" s="92" t="n"/>
      <c r="I791" s="92" t="n"/>
      <c r="J791" s="92" t="n"/>
      <c r="K791" s="92" t="n"/>
      <c r="L791" s="92" t="n"/>
      <c r="M791" s="97" t="n"/>
      <c r="N791" s="92" t="n"/>
      <c r="O791" s="92" t="n"/>
      <c r="P791" s="92" t="n"/>
    </row>
    <row r="792" ht="32" customHeight="1">
      <c r="A792" s="91" t="n"/>
      <c r="B792" s="91" t="n"/>
      <c r="C792" s="91" t="n"/>
      <c r="D792" s="91" t="n"/>
      <c r="E792" s="91" t="n"/>
      <c r="F792" s="94" t="n"/>
      <c r="G792" s="94" t="n"/>
      <c r="H792" s="91" t="n"/>
      <c r="I792" s="91" t="n"/>
      <c r="J792" s="91" t="n"/>
      <c r="K792" s="91" t="n"/>
      <c r="L792" s="91" t="n"/>
      <c r="M792" s="95" t="n"/>
      <c r="N792" s="91" t="n"/>
      <c r="O792" s="91" t="n"/>
      <c r="P792" s="91" t="n"/>
    </row>
    <row r="793" ht="32" customHeight="1">
      <c r="A793" s="92" t="n"/>
      <c r="B793" s="92" t="n"/>
      <c r="C793" s="92" t="n"/>
      <c r="D793" s="92" t="n"/>
      <c r="E793" s="92" t="n"/>
      <c r="F793" s="96" t="n"/>
      <c r="G793" s="96" t="n"/>
      <c r="H793" s="92" t="n"/>
      <c r="I793" s="92" t="n"/>
      <c r="J793" s="92" t="n"/>
      <c r="K793" s="92" t="n"/>
      <c r="L793" s="92" t="n"/>
      <c r="M793" s="97" t="n"/>
      <c r="N793" s="92" t="n"/>
      <c r="O793" s="92" t="n"/>
      <c r="P793" s="92" t="n"/>
    </row>
    <row r="794" ht="32" customHeight="1">
      <c r="A794" s="91" t="n"/>
      <c r="B794" s="91" t="n"/>
      <c r="C794" s="91" t="n"/>
      <c r="D794" s="91" t="n"/>
      <c r="E794" s="91" t="n"/>
      <c r="F794" s="94" t="n"/>
      <c r="G794" s="94" t="n"/>
      <c r="H794" s="91" t="n"/>
      <c r="I794" s="91" t="n"/>
      <c r="J794" s="91" t="n"/>
      <c r="K794" s="91" t="n"/>
      <c r="L794" s="91" t="n"/>
      <c r="M794" s="95" t="n"/>
      <c r="N794" s="91" t="n"/>
      <c r="O794" s="91" t="n"/>
      <c r="P794" s="91" t="n"/>
    </row>
    <row r="795" ht="32" customHeight="1">
      <c r="A795" s="92" t="n"/>
      <c r="B795" s="92" t="n"/>
      <c r="C795" s="92" t="n"/>
      <c r="D795" s="92" t="n"/>
      <c r="E795" s="92" t="n"/>
      <c r="F795" s="96" t="n"/>
      <c r="G795" s="96" t="n"/>
      <c r="H795" s="92" t="n"/>
      <c r="I795" s="92" t="n"/>
      <c r="J795" s="92" t="n"/>
      <c r="K795" s="92" t="n"/>
      <c r="L795" s="92" t="n"/>
      <c r="M795" s="97" t="n"/>
      <c r="N795" s="92" t="n"/>
      <c r="O795" s="92" t="n"/>
      <c r="P795" s="92" t="n"/>
    </row>
    <row r="796" ht="32" customHeight="1">
      <c r="A796" s="91" t="n"/>
      <c r="B796" s="91" t="n"/>
      <c r="C796" s="91" t="n"/>
      <c r="D796" s="91" t="n"/>
      <c r="E796" s="91" t="n"/>
      <c r="F796" s="94" t="n"/>
      <c r="G796" s="94" t="n"/>
      <c r="H796" s="91" t="n"/>
      <c r="I796" s="91" t="n"/>
      <c r="J796" s="91" t="n"/>
      <c r="K796" s="91" t="n"/>
      <c r="L796" s="91" t="n"/>
      <c r="M796" s="95" t="n"/>
      <c r="N796" s="91" t="n"/>
      <c r="O796" s="91" t="n"/>
      <c r="P796" s="91" t="n"/>
    </row>
    <row r="797" ht="32" customHeight="1">
      <c r="A797" s="92" t="n"/>
      <c r="B797" s="92" t="n"/>
      <c r="C797" s="92" t="n"/>
      <c r="D797" s="92" t="n"/>
      <c r="E797" s="92" t="n"/>
      <c r="F797" s="96" t="n"/>
      <c r="G797" s="96" t="n"/>
      <c r="H797" s="92" t="n"/>
      <c r="I797" s="92" t="n"/>
      <c r="J797" s="92" t="n"/>
      <c r="K797" s="92" t="n"/>
      <c r="L797" s="92" t="n"/>
      <c r="M797" s="97" t="n"/>
      <c r="N797" s="92" t="n"/>
      <c r="O797" s="92" t="n"/>
      <c r="P797" s="92" t="n"/>
    </row>
    <row r="798" ht="32" customHeight="1">
      <c r="A798" s="91" t="n"/>
      <c r="B798" s="91" t="n"/>
      <c r="C798" s="91" t="n"/>
      <c r="D798" s="91" t="n"/>
      <c r="E798" s="91" t="n"/>
      <c r="F798" s="94" t="n"/>
      <c r="G798" s="94" t="n"/>
      <c r="H798" s="91" t="n"/>
      <c r="I798" s="91" t="n"/>
      <c r="J798" s="91" t="n"/>
      <c r="K798" s="91" t="n"/>
      <c r="L798" s="91" t="n"/>
      <c r="M798" s="95" t="n"/>
      <c r="N798" s="91" t="n"/>
      <c r="O798" s="91" t="n"/>
      <c r="P798" s="91" t="n"/>
    </row>
    <row r="799" ht="32" customHeight="1">
      <c r="A799" s="92" t="n"/>
      <c r="B799" s="92" t="n"/>
      <c r="C799" s="92" t="n"/>
      <c r="D799" s="92" t="n"/>
      <c r="E799" s="92" t="n"/>
      <c r="F799" s="96" t="n"/>
      <c r="G799" s="96" t="n"/>
      <c r="H799" s="92" t="n"/>
      <c r="I799" s="92" t="n"/>
      <c r="J799" s="92" t="n"/>
      <c r="K799" s="92" t="n"/>
      <c r="L799" s="92" t="n"/>
      <c r="M799" s="97" t="n"/>
      <c r="N799" s="92" t="n"/>
      <c r="O799" s="92" t="n"/>
      <c r="P799" s="92" t="n"/>
    </row>
    <row r="800" ht="32" customHeight="1">
      <c r="A800" s="91" t="n"/>
      <c r="B800" s="91" t="n"/>
      <c r="C800" s="91" t="n"/>
      <c r="D800" s="91" t="n"/>
      <c r="E800" s="91" t="n"/>
      <c r="F800" s="94" t="n"/>
      <c r="G800" s="94" t="n"/>
      <c r="H800" s="91" t="n"/>
      <c r="I800" s="91" t="n"/>
      <c r="J800" s="91" t="n"/>
      <c r="K800" s="91" t="n"/>
      <c r="L800" s="91" t="n"/>
      <c r="M800" s="95" t="n"/>
      <c r="N800" s="91" t="n"/>
      <c r="O800" s="91" t="n"/>
      <c r="P800" s="91" t="n"/>
    </row>
    <row r="801" ht="32" customHeight="1">
      <c r="A801" s="92" t="n"/>
      <c r="B801" s="92" t="n"/>
      <c r="C801" s="92" t="n"/>
      <c r="D801" s="92" t="n"/>
      <c r="E801" s="92" t="n"/>
      <c r="F801" s="96" t="n"/>
      <c r="G801" s="96" t="n"/>
      <c r="H801" s="92" t="n"/>
      <c r="I801" s="92" t="n"/>
      <c r="J801" s="92" t="n"/>
      <c r="K801" s="92" t="n"/>
      <c r="L801" s="92" t="n"/>
      <c r="M801" s="97" t="n"/>
      <c r="N801" s="92" t="n"/>
      <c r="O801" s="92" t="n"/>
      <c r="P801" s="92" t="n"/>
    </row>
    <row r="802" ht="32" customHeight="1">
      <c r="A802" s="91" t="n"/>
      <c r="B802" s="91" t="n"/>
      <c r="C802" s="91" t="n"/>
      <c r="D802" s="91" t="n"/>
      <c r="E802" s="91" t="n"/>
      <c r="F802" s="94" t="n"/>
      <c r="G802" s="94" t="n"/>
      <c r="H802" s="91" t="n"/>
      <c r="I802" s="91" t="n"/>
      <c r="J802" s="91" t="n"/>
      <c r="K802" s="91" t="n"/>
      <c r="L802" s="91" t="n"/>
      <c r="M802" s="95" t="n"/>
      <c r="N802" s="91" t="n"/>
      <c r="O802" s="91" t="n"/>
      <c r="P802" s="91" t="n"/>
    </row>
    <row r="803" ht="32" customHeight="1">
      <c r="A803" s="92" t="n"/>
      <c r="B803" s="92" t="n"/>
      <c r="C803" s="92" t="n"/>
      <c r="D803" s="92" t="n"/>
      <c r="E803" s="92" t="n"/>
      <c r="F803" s="96" t="n"/>
      <c r="G803" s="96" t="n"/>
      <c r="H803" s="92" t="n"/>
      <c r="I803" s="92" t="n"/>
      <c r="J803" s="92" t="n"/>
      <c r="K803" s="92" t="n"/>
      <c r="L803" s="92" t="n"/>
      <c r="M803" s="97" t="n"/>
      <c r="N803" s="92" t="n"/>
      <c r="O803" s="92" t="n"/>
      <c r="P803" s="92" t="n"/>
    </row>
    <row r="804" ht="32" customHeight="1">
      <c r="A804" s="91" t="n"/>
      <c r="B804" s="91" t="n"/>
      <c r="C804" s="91" t="n"/>
      <c r="D804" s="91" t="n"/>
      <c r="E804" s="91" t="n"/>
      <c r="F804" s="94" t="n"/>
      <c r="G804" s="94" t="n"/>
      <c r="H804" s="91" t="n"/>
      <c r="I804" s="91" t="n"/>
      <c r="J804" s="91" t="n"/>
      <c r="K804" s="91" t="n"/>
      <c r="L804" s="91" t="n"/>
      <c r="M804" s="95" t="n"/>
      <c r="N804" s="91" t="n"/>
      <c r="O804" s="91" t="n"/>
      <c r="P804" s="91" t="n"/>
    </row>
    <row r="805" ht="32" customHeight="1">
      <c r="A805" s="92" t="n"/>
      <c r="B805" s="92" t="n"/>
      <c r="C805" s="92" t="n"/>
      <c r="D805" s="92" t="n"/>
      <c r="E805" s="92" t="n"/>
      <c r="F805" s="96" t="n"/>
      <c r="G805" s="96" t="n"/>
      <c r="H805" s="92" t="n"/>
      <c r="I805" s="92" t="n"/>
      <c r="J805" s="92" t="n"/>
      <c r="K805" s="92" t="n"/>
      <c r="L805" s="92" t="n"/>
      <c r="M805" s="97" t="n"/>
      <c r="N805" s="92" t="n"/>
      <c r="O805" s="92" t="n"/>
      <c r="P805" s="92" t="n"/>
    </row>
    <row r="806" ht="32" customHeight="1">
      <c r="A806" s="91" t="n"/>
      <c r="B806" s="91" t="n"/>
      <c r="C806" s="91" t="n"/>
      <c r="D806" s="91" t="n"/>
      <c r="E806" s="91" t="n"/>
      <c r="F806" s="94" t="n"/>
      <c r="G806" s="94" t="n"/>
      <c r="H806" s="91" t="n"/>
      <c r="I806" s="91" t="n"/>
      <c r="J806" s="91" t="n"/>
      <c r="K806" s="91" t="n"/>
      <c r="L806" s="91" t="n"/>
      <c r="M806" s="95" t="n"/>
      <c r="N806" s="91" t="n"/>
      <c r="O806" s="91" t="n"/>
      <c r="P806" s="91" t="n"/>
    </row>
    <row r="807" ht="32" customHeight="1">
      <c r="A807" s="92" t="n"/>
      <c r="B807" s="92" t="n"/>
      <c r="C807" s="92" t="n"/>
      <c r="D807" s="92" t="n"/>
      <c r="E807" s="92" t="n"/>
      <c r="F807" s="96" t="n"/>
      <c r="G807" s="96" t="n"/>
      <c r="H807" s="92" t="n"/>
      <c r="I807" s="92" t="n"/>
      <c r="J807" s="92" t="n"/>
      <c r="K807" s="92" t="n"/>
      <c r="L807" s="92" t="n"/>
      <c r="M807" s="97" t="n"/>
      <c r="N807" s="92" t="n"/>
      <c r="O807" s="92" t="n"/>
      <c r="P807" s="92" t="n"/>
    </row>
    <row r="808" ht="32" customHeight="1">
      <c r="A808" s="91" t="n"/>
      <c r="B808" s="91" t="n"/>
      <c r="C808" s="91" t="n"/>
      <c r="D808" s="91" t="n"/>
      <c r="E808" s="91" t="n"/>
      <c r="F808" s="94" t="n"/>
      <c r="G808" s="94" t="n"/>
      <c r="H808" s="91" t="n"/>
      <c r="I808" s="91" t="n"/>
      <c r="J808" s="91" t="n"/>
      <c r="K808" s="91" t="n"/>
      <c r="L808" s="91" t="n"/>
      <c r="M808" s="95" t="n"/>
      <c r="N808" s="91" t="n"/>
      <c r="O808" s="91" t="n"/>
      <c r="P808" s="91" t="n"/>
    </row>
    <row r="809" ht="32" customHeight="1">
      <c r="A809" s="92" t="n"/>
      <c r="B809" s="92" t="n"/>
      <c r="C809" s="92" t="n"/>
      <c r="D809" s="92" t="n"/>
      <c r="E809" s="92" t="n"/>
      <c r="F809" s="96" t="n"/>
      <c r="G809" s="96" t="n"/>
      <c r="H809" s="92" t="n"/>
      <c r="I809" s="92" t="n"/>
      <c r="J809" s="92" t="n"/>
      <c r="K809" s="92" t="n"/>
      <c r="L809" s="92" t="n"/>
      <c r="M809" s="97" t="n"/>
      <c r="N809" s="92" t="n"/>
      <c r="O809" s="92" t="n"/>
      <c r="P809" s="92" t="n"/>
    </row>
    <row r="810" ht="32" customHeight="1">
      <c r="A810" s="91" t="n"/>
      <c r="B810" s="91" t="n"/>
      <c r="C810" s="91" t="n"/>
      <c r="D810" s="91" t="n"/>
      <c r="E810" s="91" t="n"/>
      <c r="F810" s="94" t="n"/>
      <c r="G810" s="94" t="n"/>
      <c r="H810" s="91" t="n"/>
      <c r="I810" s="91" t="n"/>
      <c r="J810" s="91" t="n"/>
      <c r="K810" s="91" t="n"/>
      <c r="L810" s="91" t="n"/>
      <c r="M810" s="95" t="n"/>
      <c r="N810" s="91" t="n"/>
      <c r="O810" s="91" t="n"/>
      <c r="P810" s="91" t="n"/>
    </row>
    <row r="811" ht="32" customHeight="1">
      <c r="A811" s="92" t="n"/>
      <c r="B811" s="92" t="n"/>
      <c r="C811" s="92" t="n"/>
      <c r="D811" s="92" t="n"/>
      <c r="E811" s="92" t="n"/>
      <c r="F811" s="96" t="n"/>
      <c r="G811" s="96" t="n"/>
      <c r="H811" s="92" t="n"/>
      <c r="I811" s="92" t="n"/>
      <c r="J811" s="92" t="n"/>
      <c r="K811" s="92" t="n"/>
      <c r="L811" s="92" t="n"/>
      <c r="M811" s="97" t="n"/>
      <c r="N811" s="92" t="n"/>
      <c r="O811" s="92" t="n"/>
      <c r="P811" s="92" t="n"/>
    </row>
    <row r="812" ht="32" customHeight="1">
      <c r="A812" s="91" t="n"/>
      <c r="B812" s="91" t="n"/>
      <c r="C812" s="91" t="n"/>
      <c r="D812" s="91" t="n"/>
      <c r="E812" s="91" t="n"/>
      <c r="F812" s="94" t="n"/>
      <c r="G812" s="94" t="n"/>
      <c r="H812" s="91" t="n"/>
      <c r="I812" s="91" t="n"/>
      <c r="J812" s="91" t="n"/>
      <c r="K812" s="91" t="n"/>
      <c r="L812" s="91" t="n"/>
      <c r="M812" s="95" t="n"/>
      <c r="N812" s="91" t="n"/>
      <c r="O812" s="91" t="n"/>
      <c r="P812" s="91" t="n"/>
    </row>
    <row r="813" ht="32" customHeight="1">
      <c r="A813" s="92" t="n"/>
      <c r="B813" s="92" t="n"/>
      <c r="C813" s="92" t="n"/>
      <c r="D813" s="92" t="n"/>
      <c r="E813" s="92" t="n"/>
      <c r="F813" s="96" t="n"/>
      <c r="G813" s="96" t="n"/>
      <c r="H813" s="92" t="n"/>
      <c r="I813" s="92" t="n"/>
      <c r="J813" s="92" t="n"/>
      <c r="K813" s="92" t="n"/>
      <c r="L813" s="92" t="n"/>
      <c r="M813" s="97" t="n"/>
      <c r="N813" s="92" t="n"/>
      <c r="O813" s="92" t="n"/>
      <c r="P813" s="92" t="n"/>
    </row>
    <row r="814" ht="32" customHeight="1">
      <c r="A814" s="91" t="n"/>
      <c r="B814" s="91" t="n"/>
      <c r="C814" s="91" t="n"/>
      <c r="D814" s="91" t="n"/>
      <c r="E814" s="91" t="n"/>
      <c r="F814" s="94" t="n"/>
      <c r="G814" s="94" t="n"/>
      <c r="H814" s="91" t="n"/>
      <c r="I814" s="91" t="n"/>
      <c r="J814" s="91" t="n"/>
      <c r="K814" s="91" t="n"/>
      <c r="L814" s="91" t="n"/>
      <c r="M814" s="95" t="n"/>
      <c r="N814" s="91" t="n"/>
      <c r="O814" s="91" t="n"/>
      <c r="P814" s="91" t="n"/>
    </row>
    <row r="815" ht="32" customHeight="1">
      <c r="A815" s="92" t="n"/>
      <c r="B815" s="92" t="n"/>
      <c r="C815" s="92" t="n"/>
      <c r="D815" s="92" t="n"/>
      <c r="E815" s="92" t="n"/>
      <c r="F815" s="96" t="n"/>
      <c r="G815" s="96" t="n"/>
      <c r="H815" s="92" t="n"/>
      <c r="I815" s="92" t="n"/>
      <c r="J815" s="92" t="n"/>
      <c r="K815" s="92" t="n"/>
      <c r="L815" s="92" t="n"/>
      <c r="M815" s="97" t="n"/>
      <c r="N815" s="92" t="n"/>
      <c r="O815" s="92" t="n"/>
      <c r="P815" s="92" t="n"/>
    </row>
    <row r="816" ht="32" customHeight="1">
      <c r="A816" s="91" t="n"/>
      <c r="B816" s="91" t="n"/>
      <c r="C816" s="91" t="n"/>
      <c r="D816" s="91" t="n"/>
      <c r="E816" s="91" t="n"/>
      <c r="F816" s="94" t="n"/>
      <c r="G816" s="94" t="n"/>
      <c r="H816" s="91" t="n"/>
      <c r="I816" s="91" t="n"/>
      <c r="J816" s="91" t="n"/>
      <c r="K816" s="91" t="n"/>
      <c r="L816" s="91" t="n"/>
      <c r="M816" s="95" t="n"/>
      <c r="N816" s="91" t="n"/>
      <c r="O816" s="91" t="n"/>
      <c r="P816" s="91" t="n"/>
    </row>
    <row r="817" ht="32" customHeight="1">
      <c r="A817" s="92" t="n"/>
      <c r="B817" s="92" t="n"/>
      <c r="C817" s="92" t="n"/>
      <c r="D817" s="92" t="n"/>
      <c r="E817" s="92" t="n"/>
      <c r="F817" s="96" t="n"/>
      <c r="G817" s="96" t="n"/>
      <c r="H817" s="92" t="n"/>
      <c r="I817" s="92" t="n"/>
      <c r="J817" s="92" t="n"/>
      <c r="K817" s="92" t="n"/>
      <c r="L817" s="92" t="n"/>
      <c r="M817" s="97" t="n"/>
      <c r="N817" s="92" t="n"/>
      <c r="O817" s="92" t="n"/>
      <c r="P817" s="92" t="n"/>
    </row>
    <row r="818" ht="32" customHeight="1">
      <c r="A818" s="91" t="n"/>
      <c r="B818" s="91" t="n"/>
      <c r="C818" s="91" t="n"/>
      <c r="D818" s="91" t="n"/>
      <c r="E818" s="91" t="n"/>
      <c r="F818" s="94" t="n"/>
      <c r="G818" s="94" t="n"/>
      <c r="H818" s="91" t="n"/>
      <c r="I818" s="91" t="n"/>
      <c r="J818" s="91" t="n"/>
      <c r="K818" s="91" t="n"/>
      <c r="L818" s="91" t="n"/>
      <c r="M818" s="95" t="n"/>
      <c r="N818" s="91" t="n"/>
      <c r="O818" s="91" t="n"/>
      <c r="P818" s="91" t="n"/>
    </row>
    <row r="819" ht="32" customHeight="1">
      <c r="A819" s="92" t="n"/>
      <c r="B819" s="92" t="n"/>
      <c r="C819" s="92" t="n"/>
      <c r="D819" s="92" t="n"/>
      <c r="E819" s="92" t="n"/>
      <c r="F819" s="96" t="n"/>
      <c r="G819" s="96" t="n"/>
      <c r="H819" s="92" t="n"/>
      <c r="I819" s="92" t="n"/>
      <c r="J819" s="92" t="n"/>
      <c r="K819" s="92" t="n"/>
      <c r="L819" s="92" t="n"/>
      <c r="M819" s="97" t="n"/>
      <c r="N819" s="92" t="n"/>
      <c r="O819" s="92" t="n"/>
      <c r="P819" s="92" t="n"/>
    </row>
    <row r="820" ht="32" customHeight="1">
      <c r="A820" s="91" t="n"/>
      <c r="B820" s="91" t="n"/>
      <c r="C820" s="91" t="n"/>
      <c r="D820" s="91" t="n"/>
      <c r="E820" s="91" t="n"/>
      <c r="F820" s="94" t="n"/>
      <c r="G820" s="94" t="n"/>
      <c r="H820" s="91" t="n"/>
      <c r="I820" s="91" t="n"/>
      <c r="J820" s="91" t="n"/>
      <c r="K820" s="91" t="n"/>
      <c r="L820" s="91" t="n"/>
      <c r="M820" s="95" t="n"/>
      <c r="N820" s="91" t="n"/>
      <c r="O820" s="91" t="n"/>
      <c r="P820" s="91" t="n"/>
    </row>
    <row r="821" ht="32" customHeight="1">
      <c r="A821" s="92" t="n"/>
      <c r="B821" s="92" t="n"/>
      <c r="C821" s="92" t="n"/>
      <c r="D821" s="92" t="n"/>
      <c r="E821" s="92" t="n"/>
      <c r="F821" s="96" t="n"/>
      <c r="G821" s="96" t="n"/>
      <c r="H821" s="92" t="n"/>
      <c r="I821" s="92" t="n"/>
      <c r="J821" s="92" t="n"/>
      <c r="K821" s="92" t="n"/>
      <c r="L821" s="92" t="n"/>
      <c r="M821" s="97" t="n"/>
      <c r="N821" s="92" t="n"/>
      <c r="O821" s="92" t="n"/>
      <c r="P821" s="92" t="n"/>
    </row>
    <row r="822" ht="32" customHeight="1">
      <c r="A822" s="91" t="n"/>
      <c r="B822" s="91" t="n"/>
      <c r="C822" s="91" t="n"/>
      <c r="D822" s="91" t="n"/>
      <c r="E822" s="91" t="n"/>
      <c r="F822" s="94" t="n"/>
      <c r="G822" s="94" t="n"/>
      <c r="H822" s="91" t="n"/>
      <c r="I822" s="91" t="n"/>
      <c r="J822" s="91" t="n"/>
      <c r="K822" s="91" t="n"/>
      <c r="L822" s="91" t="n"/>
      <c r="M822" s="95" t="n"/>
      <c r="N822" s="91" t="n"/>
      <c r="O822" s="91" t="n"/>
      <c r="P822" s="91" t="n"/>
    </row>
    <row r="823" ht="32" customHeight="1">
      <c r="A823" s="92" t="n"/>
      <c r="B823" s="92" t="n"/>
      <c r="C823" s="92" t="n"/>
      <c r="D823" s="92" t="n"/>
      <c r="E823" s="92" t="n"/>
      <c r="F823" s="96" t="n"/>
      <c r="G823" s="96" t="n"/>
      <c r="H823" s="92" t="n"/>
      <c r="I823" s="92" t="n"/>
      <c r="J823" s="92" t="n"/>
      <c r="K823" s="92" t="n"/>
      <c r="L823" s="92" t="n"/>
      <c r="M823" s="97" t="n"/>
      <c r="N823" s="92" t="n"/>
      <c r="O823" s="92" t="n"/>
      <c r="P823" s="92" t="n"/>
    </row>
    <row r="824" ht="32" customHeight="1">
      <c r="A824" s="91" t="n"/>
      <c r="B824" s="91" t="n"/>
      <c r="C824" s="91" t="n"/>
      <c r="D824" s="91" t="n"/>
      <c r="E824" s="91" t="n"/>
      <c r="F824" s="94" t="n"/>
      <c r="G824" s="94" t="n"/>
      <c r="H824" s="91" t="n"/>
      <c r="I824" s="91" t="n"/>
      <c r="J824" s="91" t="n"/>
      <c r="K824" s="91" t="n"/>
      <c r="L824" s="91" t="n"/>
      <c r="M824" s="95" t="n"/>
      <c r="N824" s="91" t="n"/>
      <c r="O824" s="91" t="n"/>
      <c r="P824" s="91" t="n"/>
    </row>
    <row r="825" ht="32" customHeight="1">
      <c r="A825" s="92" t="n"/>
      <c r="B825" s="92" t="n"/>
      <c r="C825" s="92" t="n"/>
      <c r="D825" s="92" t="n"/>
      <c r="E825" s="92" t="n"/>
      <c r="F825" s="96" t="n"/>
      <c r="G825" s="96" t="n"/>
      <c r="H825" s="92" t="n"/>
      <c r="I825" s="92" t="n"/>
      <c r="J825" s="92" t="n"/>
      <c r="K825" s="92" t="n"/>
      <c r="L825" s="92" t="n"/>
      <c r="M825" s="97" t="n"/>
      <c r="N825" s="92" t="n"/>
      <c r="O825" s="92" t="n"/>
      <c r="P825" s="92" t="n"/>
    </row>
    <row r="826" ht="32" customHeight="1">
      <c r="A826" s="91" t="n"/>
      <c r="B826" s="91" t="n"/>
      <c r="C826" s="91" t="n"/>
      <c r="D826" s="91" t="n"/>
      <c r="E826" s="91" t="n"/>
      <c r="F826" s="94" t="n"/>
      <c r="G826" s="94" t="n"/>
      <c r="H826" s="91" t="n"/>
      <c r="I826" s="91" t="n"/>
      <c r="J826" s="91" t="n"/>
      <c r="K826" s="91" t="n"/>
      <c r="L826" s="91" t="n"/>
      <c r="M826" s="95" t="n"/>
      <c r="N826" s="91" t="n"/>
      <c r="O826" s="91" t="n"/>
      <c r="P826" s="91" t="n"/>
    </row>
    <row r="827" ht="32" customHeight="1">
      <c r="A827" s="92" t="n"/>
      <c r="B827" s="92" t="n"/>
      <c r="C827" s="92" t="n"/>
      <c r="D827" s="92" t="n"/>
      <c r="E827" s="92" t="n"/>
      <c r="F827" s="96" t="n"/>
      <c r="G827" s="96" t="n"/>
      <c r="H827" s="92" t="n"/>
      <c r="I827" s="92" t="n"/>
      <c r="J827" s="92" t="n"/>
      <c r="K827" s="92" t="n"/>
      <c r="L827" s="92" t="n"/>
      <c r="M827" s="97" t="n"/>
      <c r="N827" s="92" t="n"/>
      <c r="O827" s="92" t="n"/>
      <c r="P827" s="92" t="n"/>
    </row>
    <row r="828" ht="32" customHeight="1">
      <c r="A828" s="91" t="n"/>
      <c r="B828" s="91" t="n"/>
      <c r="C828" s="91" t="n"/>
      <c r="D828" s="91" t="n"/>
      <c r="E828" s="91" t="n"/>
      <c r="F828" s="94" t="n"/>
      <c r="G828" s="94" t="n"/>
      <c r="H828" s="91" t="n"/>
      <c r="I828" s="91" t="n"/>
      <c r="J828" s="91" t="n"/>
      <c r="K828" s="91" t="n"/>
      <c r="L828" s="91" t="n"/>
      <c r="M828" s="95" t="n"/>
      <c r="N828" s="91" t="n"/>
      <c r="O828" s="91" t="n"/>
      <c r="P828" s="91" t="n"/>
    </row>
    <row r="829" ht="32" customHeight="1">
      <c r="A829" s="92" t="n"/>
      <c r="B829" s="92" t="n"/>
      <c r="C829" s="92" t="n"/>
      <c r="D829" s="92" t="n"/>
      <c r="E829" s="92" t="n"/>
      <c r="F829" s="96" t="n"/>
      <c r="G829" s="96" t="n"/>
      <c r="H829" s="92" t="n"/>
      <c r="I829" s="92" t="n"/>
      <c r="J829" s="92" t="n"/>
      <c r="K829" s="92" t="n"/>
      <c r="L829" s="92" t="n"/>
      <c r="M829" s="97" t="n"/>
      <c r="N829" s="92" t="n"/>
      <c r="O829" s="92" t="n"/>
      <c r="P829" s="92" t="n"/>
    </row>
    <row r="830" ht="32" customHeight="1">
      <c r="A830" s="91" t="n"/>
      <c r="B830" s="91" t="n"/>
      <c r="C830" s="91" t="n"/>
      <c r="D830" s="91" t="n"/>
      <c r="E830" s="91" t="n"/>
      <c r="F830" s="94" t="n"/>
      <c r="G830" s="94" t="n"/>
      <c r="H830" s="91" t="n"/>
      <c r="I830" s="91" t="n"/>
      <c r="J830" s="91" t="n"/>
      <c r="K830" s="91" t="n"/>
      <c r="L830" s="91" t="n"/>
      <c r="M830" s="95" t="n"/>
      <c r="N830" s="91" t="n"/>
      <c r="O830" s="91" t="n"/>
      <c r="P830" s="91" t="n"/>
    </row>
    <row r="831" ht="32" customHeight="1">
      <c r="A831" s="92" t="n"/>
      <c r="B831" s="92" t="n"/>
      <c r="C831" s="92" t="n"/>
      <c r="D831" s="92" t="n"/>
      <c r="E831" s="92" t="n"/>
      <c r="F831" s="96" t="n"/>
      <c r="G831" s="96" t="n"/>
      <c r="H831" s="92" t="n"/>
      <c r="I831" s="92" t="n"/>
      <c r="J831" s="92" t="n"/>
      <c r="K831" s="92" t="n"/>
      <c r="L831" s="92" t="n"/>
      <c r="M831" s="97" t="n"/>
      <c r="N831" s="92" t="n"/>
      <c r="O831" s="92" t="n"/>
      <c r="P831" s="92" t="n"/>
    </row>
    <row r="832" ht="32" customHeight="1">
      <c r="A832" s="91" t="n"/>
      <c r="B832" s="91" t="n"/>
      <c r="C832" s="91" t="n"/>
      <c r="D832" s="91" t="n"/>
      <c r="E832" s="91" t="n"/>
      <c r="F832" s="94" t="n"/>
      <c r="G832" s="94" t="n"/>
      <c r="H832" s="91" t="n"/>
      <c r="I832" s="91" t="n"/>
      <c r="J832" s="91" t="n"/>
      <c r="K832" s="91" t="n"/>
      <c r="L832" s="91" t="n"/>
      <c r="M832" s="95" t="n"/>
      <c r="N832" s="91" t="n"/>
      <c r="O832" s="91" t="n"/>
      <c r="P832" s="91" t="n"/>
    </row>
    <row r="833" ht="32" customHeight="1">
      <c r="A833" s="92" t="n"/>
      <c r="B833" s="92" t="n"/>
      <c r="C833" s="92" t="n"/>
      <c r="D833" s="92" t="n"/>
      <c r="E833" s="92" t="n"/>
      <c r="F833" s="96" t="n"/>
      <c r="G833" s="96" t="n"/>
      <c r="H833" s="92" t="n"/>
      <c r="I833" s="92" t="n"/>
      <c r="J833" s="92" t="n"/>
      <c r="K833" s="92" t="n"/>
      <c r="L833" s="92" t="n"/>
      <c r="M833" s="97" t="n"/>
      <c r="N833" s="92" t="n"/>
      <c r="O833" s="92" t="n"/>
      <c r="P833" s="92" t="n"/>
    </row>
    <row r="834" ht="32" customHeight="1">
      <c r="A834" s="91" t="n"/>
      <c r="B834" s="91" t="n"/>
      <c r="C834" s="91" t="n"/>
      <c r="D834" s="91" t="n"/>
      <c r="E834" s="91" t="n"/>
      <c r="F834" s="94" t="n"/>
      <c r="G834" s="94" t="n"/>
      <c r="H834" s="91" t="n"/>
      <c r="I834" s="91" t="n"/>
      <c r="J834" s="91" t="n"/>
      <c r="K834" s="91" t="n"/>
      <c r="L834" s="91" t="n"/>
      <c r="M834" s="95" t="n"/>
      <c r="N834" s="91" t="n"/>
      <c r="O834" s="91" t="n"/>
      <c r="P834" s="91" t="n"/>
    </row>
    <row r="835" ht="32" customHeight="1">
      <c r="A835" s="92" t="n"/>
      <c r="B835" s="92" t="n"/>
      <c r="C835" s="92" t="n"/>
      <c r="D835" s="92" t="n"/>
      <c r="E835" s="92" t="n"/>
      <c r="F835" s="96" t="n"/>
      <c r="G835" s="96" t="n"/>
      <c r="H835" s="92" t="n"/>
      <c r="I835" s="92" t="n"/>
      <c r="J835" s="92" t="n"/>
      <c r="K835" s="92" t="n"/>
      <c r="L835" s="92" t="n"/>
      <c r="M835" s="97" t="n"/>
      <c r="N835" s="92" t="n"/>
      <c r="O835" s="92" t="n"/>
      <c r="P835" s="92" t="n"/>
    </row>
    <row r="836" ht="32" customHeight="1">
      <c r="A836" s="91" t="n"/>
      <c r="B836" s="91" t="n"/>
      <c r="C836" s="91" t="n"/>
      <c r="D836" s="91" t="n"/>
      <c r="E836" s="91" t="n"/>
      <c r="F836" s="94" t="n"/>
      <c r="G836" s="94" t="n"/>
      <c r="H836" s="91" t="n"/>
      <c r="I836" s="91" t="n"/>
      <c r="J836" s="91" t="n"/>
      <c r="K836" s="91" t="n"/>
      <c r="L836" s="91" t="n"/>
      <c r="M836" s="95" t="n"/>
      <c r="N836" s="91" t="n"/>
      <c r="O836" s="91" t="n"/>
      <c r="P836" s="91" t="n"/>
    </row>
    <row r="837" ht="32" customHeight="1">
      <c r="A837" s="92" t="n"/>
      <c r="B837" s="92" t="n"/>
      <c r="C837" s="92" t="n"/>
      <c r="D837" s="92" t="n"/>
      <c r="E837" s="92" t="n"/>
      <c r="F837" s="96" t="n"/>
      <c r="G837" s="96" t="n"/>
      <c r="H837" s="92" t="n"/>
      <c r="I837" s="92" t="n"/>
      <c r="J837" s="92" t="n"/>
      <c r="K837" s="92" t="n"/>
      <c r="L837" s="92" t="n"/>
      <c r="M837" s="97" t="n"/>
      <c r="N837" s="92" t="n"/>
      <c r="O837" s="92" t="n"/>
      <c r="P837" s="92" t="n"/>
    </row>
    <row r="838" ht="32" customHeight="1">
      <c r="A838" s="91" t="n"/>
      <c r="B838" s="91" t="n"/>
      <c r="C838" s="91" t="n"/>
      <c r="D838" s="91" t="n"/>
      <c r="E838" s="91" t="n"/>
      <c r="F838" s="94" t="n"/>
      <c r="G838" s="94" t="n"/>
      <c r="H838" s="91" t="n"/>
      <c r="I838" s="91" t="n"/>
      <c r="J838" s="91" t="n"/>
      <c r="K838" s="91" t="n"/>
      <c r="L838" s="91" t="n"/>
      <c r="M838" s="95" t="n"/>
      <c r="N838" s="91" t="n"/>
      <c r="O838" s="91" t="n"/>
      <c r="P838" s="91" t="n"/>
    </row>
    <row r="839" ht="32" customHeight="1">
      <c r="A839" s="92" t="n"/>
      <c r="B839" s="92" t="n"/>
      <c r="C839" s="92" t="n"/>
      <c r="D839" s="92" t="n"/>
      <c r="E839" s="92" t="n"/>
      <c r="F839" s="96" t="n"/>
      <c r="G839" s="96" t="n"/>
      <c r="H839" s="92" t="n"/>
      <c r="I839" s="92" t="n"/>
      <c r="J839" s="92" t="n"/>
      <c r="K839" s="92" t="n"/>
      <c r="L839" s="92" t="n"/>
      <c r="M839" s="97" t="n"/>
      <c r="N839" s="92" t="n"/>
      <c r="O839" s="92" t="n"/>
      <c r="P839" s="92" t="n"/>
    </row>
    <row r="840" ht="32" customHeight="1">
      <c r="A840" s="91" t="n"/>
      <c r="B840" s="91" t="n"/>
      <c r="C840" s="91" t="n"/>
      <c r="D840" s="91" t="n"/>
      <c r="E840" s="91" t="n"/>
      <c r="F840" s="94" t="n"/>
      <c r="G840" s="94" t="n"/>
      <c r="H840" s="91" t="n"/>
      <c r="I840" s="91" t="n"/>
      <c r="J840" s="91" t="n"/>
      <c r="K840" s="91" t="n"/>
      <c r="L840" s="91" t="n"/>
      <c r="M840" s="95" t="n"/>
      <c r="N840" s="91" t="n"/>
      <c r="O840" s="91" t="n"/>
      <c r="P840" s="91" t="n"/>
    </row>
    <row r="841" ht="32" customHeight="1">
      <c r="A841" s="92" t="n"/>
      <c r="B841" s="92" t="n"/>
      <c r="C841" s="92" t="n"/>
      <c r="D841" s="92" t="n"/>
      <c r="E841" s="92" t="n"/>
      <c r="F841" s="96" t="n"/>
      <c r="G841" s="96" t="n"/>
      <c r="H841" s="92" t="n"/>
      <c r="I841" s="92" t="n"/>
      <c r="J841" s="92" t="n"/>
      <c r="K841" s="92" t="n"/>
      <c r="L841" s="92" t="n"/>
      <c r="M841" s="97" t="n"/>
      <c r="N841" s="92" t="n"/>
      <c r="O841" s="92" t="n"/>
      <c r="P841" s="92" t="n"/>
    </row>
    <row r="842" ht="32" customHeight="1">
      <c r="A842" s="91" t="n"/>
      <c r="B842" s="91" t="n"/>
      <c r="C842" s="91" t="n"/>
      <c r="D842" s="91" t="n"/>
      <c r="E842" s="91" t="n"/>
      <c r="F842" s="94" t="n"/>
      <c r="G842" s="94" t="n"/>
      <c r="H842" s="91" t="n"/>
      <c r="I842" s="91" t="n"/>
      <c r="J842" s="91" t="n"/>
      <c r="K842" s="91" t="n"/>
      <c r="L842" s="91" t="n"/>
      <c r="M842" s="95" t="n"/>
      <c r="N842" s="91" t="n"/>
      <c r="O842" s="91" t="n"/>
      <c r="P842" s="91" t="n"/>
    </row>
    <row r="843" ht="32" customHeight="1">
      <c r="A843" s="92" t="n"/>
      <c r="B843" s="92" t="n"/>
      <c r="C843" s="92" t="n"/>
      <c r="D843" s="92" t="n"/>
      <c r="E843" s="92" t="n"/>
      <c r="F843" s="96" t="n"/>
      <c r="G843" s="96" t="n"/>
      <c r="H843" s="92" t="n"/>
      <c r="I843" s="92" t="n"/>
      <c r="J843" s="92" t="n"/>
      <c r="K843" s="92" t="n"/>
      <c r="L843" s="92" t="n"/>
      <c r="M843" s="97" t="n"/>
      <c r="N843" s="92" t="n"/>
      <c r="O843" s="92" t="n"/>
      <c r="P843" s="92" t="n"/>
    </row>
    <row r="844" ht="32" customHeight="1">
      <c r="A844" s="91" t="n"/>
      <c r="B844" s="91" t="n"/>
      <c r="C844" s="91" t="n"/>
      <c r="D844" s="91" t="n"/>
      <c r="E844" s="91" t="n"/>
      <c r="F844" s="94" t="n"/>
      <c r="G844" s="94" t="n"/>
      <c r="H844" s="91" t="n"/>
      <c r="I844" s="91" t="n"/>
      <c r="J844" s="91" t="n"/>
      <c r="K844" s="91" t="n"/>
      <c r="L844" s="91" t="n"/>
      <c r="M844" s="95" t="n"/>
      <c r="N844" s="91" t="n"/>
      <c r="O844" s="91" t="n"/>
      <c r="P844" s="91" t="n"/>
    </row>
    <row r="845" ht="32" customHeight="1">
      <c r="A845" s="92" t="n"/>
      <c r="B845" s="92" t="n"/>
      <c r="C845" s="92" t="n"/>
      <c r="D845" s="92" t="n"/>
      <c r="E845" s="92" t="n"/>
      <c r="F845" s="96" t="n"/>
      <c r="G845" s="96" t="n"/>
      <c r="H845" s="92" t="n"/>
      <c r="I845" s="92" t="n"/>
      <c r="J845" s="92" t="n"/>
      <c r="K845" s="92" t="n"/>
      <c r="L845" s="92" t="n"/>
      <c r="M845" s="97" t="n"/>
      <c r="N845" s="92" t="n"/>
      <c r="O845" s="92" t="n"/>
      <c r="P845" s="92" t="n"/>
    </row>
    <row r="846" ht="32" customHeight="1">
      <c r="A846" s="91" t="n"/>
      <c r="B846" s="91" t="n"/>
      <c r="C846" s="91" t="n"/>
      <c r="D846" s="91" t="n"/>
      <c r="E846" s="91" t="n"/>
      <c r="F846" s="94" t="n"/>
      <c r="G846" s="94" t="n"/>
      <c r="H846" s="91" t="n"/>
      <c r="I846" s="91" t="n"/>
      <c r="J846" s="91" t="n"/>
      <c r="K846" s="91" t="n"/>
      <c r="L846" s="91" t="n"/>
      <c r="M846" s="95" t="n"/>
      <c r="N846" s="91" t="n"/>
      <c r="O846" s="91" t="n"/>
      <c r="P846" s="91" t="n"/>
    </row>
    <row r="847" ht="32" customHeight="1">
      <c r="A847" s="92" t="n"/>
      <c r="B847" s="92" t="n"/>
      <c r="C847" s="92" t="n"/>
      <c r="D847" s="92" t="n"/>
      <c r="E847" s="92" t="n"/>
      <c r="F847" s="96" t="n"/>
      <c r="G847" s="96" t="n"/>
      <c r="H847" s="92" t="n"/>
      <c r="I847" s="92" t="n"/>
      <c r="J847" s="92" t="n"/>
      <c r="K847" s="92" t="n"/>
      <c r="L847" s="92" t="n"/>
      <c r="M847" s="97" t="n"/>
      <c r="N847" s="92" t="n"/>
      <c r="O847" s="92" t="n"/>
      <c r="P847" s="92" t="n"/>
    </row>
    <row r="848" ht="32" customHeight="1">
      <c r="A848" s="91" t="n"/>
      <c r="B848" s="91" t="n"/>
      <c r="C848" s="91" t="n"/>
      <c r="D848" s="91" t="n"/>
      <c r="E848" s="91" t="n"/>
      <c r="F848" s="94" t="n"/>
      <c r="G848" s="94" t="n"/>
      <c r="H848" s="91" t="n"/>
      <c r="I848" s="91" t="n"/>
      <c r="J848" s="91" t="n"/>
      <c r="K848" s="91" t="n"/>
      <c r="L848" s="91" t="n"/>
      <c r="M848" s="95" t="n"/>
      <c r="N848" s="91" t="n"/>
      <c r="O848" s="91" t="n"/>
      <c r="P848" s="91" t="n"/>
    </row>
    <row r="849" ht="32" customHeight="1">
      <c r="A849" s="92" t="n"/>
      <c r="B849" s="92" t="n"/>
      <c r="C849" s="92" t="n"/>
      <c r="D849" s="92" t="n"/>
      <c r="E849" s="92" t="n"/>
      <c r="F849" s="96" t="n"/>
      <c r="G849" s="96" t="n"/>
      <c r="H849" s="92" t="n"/>
      <c r="I849" s="92" t="n"/>
      <c r="J849" s="92" t="n"/>
      <c r="K849" s="92" t="n"/>
      <c r="L849" s="92" t="n"/>
      <c r="M849" s="97" t="n"/>
      <c r="N849" s="92" t="n"/>
      <c r="O849" s="92" t="n"/>
      <c r="P849" s="92" t="n"/>
    </row>
    <row r="850" ht="32" customHeight="1">
      <c r="A850" s="91" t="n"/>
      <c r="B850" s="91" t="n"/>
      <c r="C850" s="91" t="n"/>
      <c r="D850" s="91" t="n"/>
      <c r="E850" s="91" t="n"/>
      <c r="F850" s="94" t="n"/>
      <c r="G850" s="94" t="n"/>
      <c r="H850" s="91" t="n"/>
      <c r="I850" s="91" t="n"/>
      <c r="J850" s="91" t="n"/>
      <c r="K850" s="91" t="n"/>
      <c r="L850" s="91" t="n"/>
      <c r="M850" s="95" t="n"/>
      <c r="N850" s="91" t="n"/>
      <c r="O850" s="91" t="n"/>
      <c r="P850" s="91" t="n"/>
    </row>
    <row r="851" ht="32" customHeight="1">
      <c r="A851" s="92" t="n"/>
      <c r="B851" s="92" t="n"/>
      <c r="C851" s="92" t="n"/>
      <c r="D851" s="92" t="n"/>
      <c r="E851" s="92" t="n"/>
      <c r="F851" s="96" t="n"/>
      <c r="G851" s="96" t="n"/>
      <c r="H851" s="92" t="n"/>
      <c r="I851" s="92" t="n"/>
      <c r="J851" s="92" t="n"/>
      <c r="K851" s="92" t="n"/>
      <c r="L851" s="92" t="n"/>
      <c r="M851" s="97" t="n"/>
      <c r="N851" s="92" t="n"/>
      <c r="O851" s="92" t="n"/>
      <c r="P851" s="92" t="n"/>
    </row>
    <row r="852" ht="32" customHeight="1">
      <c r="A852" s="91" t="n"/>
      <c r="B852" s="91" t="n"/>
      <c r="C852" s="91" t="n"/>
      <c r="D852" s="91" t="n"/>
      <c r="E852" s="91" t="n"/>
      <c r="F852" s="94" t="n"/>
      <c r="G852" s="94" t="n"/>
      <c r="H852" s="91" t="n"/>
      <c r="I852" s="91" t="n"/>
      <c r="J852" s="91" t="n"/>
      <c r="K852" s="91" t="n"/>
      <c r="L852" s="91" t="n"/>
      <c r="M852" s="95" t="n"/>
      <c r="N852" s="91" t="n"/>
      <c r="O852" s="91" t="n"/>
      <c r="P852" s="91" t="n"/>
    </row>
    <row r="853" ht="32" customHeight="1">
      <c r="A853" s="92" t="n"/>
      <c r="B853" s="92" t="n"/>
      <c r="C853" s="92" t="n"/>
      <c r="D853" s="92" t="n"/>
      <c r="E853" s="92" t="n"/>
      <c r="F853" s="96" t="n"/>
      <c r="G853" s="96" t="n"/>
      <c r="H853" s="92" t="n"/>
      <c r="I853" s="92" t="n"/>
      <c r="J853" s="92" t="n"/>
      <c r="K853" s="92" t="n"/>
      <c r="L853" s="92" t="n"/>
      <c r="M853" s="97" t="n"/>
      <c r="N853" s="92" t="n"/>
      <c r="O853" s="92" t="n"/>
      <c r="P853" s="92" t="n"/>
    </row>
    <row r="854" ht="32" customHeight="1">
      <c r="A854" s="91" t="n"/>
      <c r="B854" s="91" t="n"/>
      <c r="C854" s="91" t="n"/>
      <c r="D854" s="91" t="n"/>
      <c r="E854" s="91" t="n"/>
      <c r="F854" s="94" t="n"/>
      <c r="G854" s="94" t="n"/>
      <c r="H854" s="91" t="n"/>
      <c r="I854" s="91" t="n"/>
      <c r="J854" s="91" t="n"/>
      <c r="K854" s="91" t="n"/>
      <c r="L854" s="91" t="n"/>
      <c r="M854" s="95" t="n"/>
      <c r="N854" s="91" t="n"/>
      <c r="O854" s="91" t="n"/>
      <c r="P854" s="91" t="n"/>
    </row>
    <row r="855" ht="32" customHeight="1">
      <c r="A855" s="92" t="n"/>
      <c r="B855" s="92" t="n"/>
      <c r="C855" s="92" t="n"/>
      <c r="D855" s="92" t="n"/>
      <c r="E855" s="92" t="n"/>
      <c r="F855" s="96" t="n"/>
      <c r="G855" s="96" t="n"/>
      <c r="H855" s="92" t="n"/>
      <c r="I855" s="92" t="n"/>
      <c r="J855" s="92" t="n"/>
      <c r="K855" s="92" t="n"/>
      <c r="L855" s="92" t="n"/>
      <c r="M855" s="97" t="n"/>
      <c r="N855" s="92" t="n"/>
      <c r="O855" s="92" t="n"/>
      <c r="P855" s="92" t="n"/>
    </row>
    <row r="856" ht="32" customHeight="1">
      <c r="A856" s="91" t="n"/>
      <c r="B856" s="91" t="n"/>
      <c r="C856" s="91" t="n"/>
      <c r="D856" s="91" t="n"/>
      <c r="E856" s="91" t="n"/>
      <c r="F856" s="94" t="n"/>
      <c r="G856" s="94" t="n"/>
      <c r="H856" s="91" t="n"/>
      <c r="I856" s="91" t="n"/>
      <c r="J856" s="91" t="n"/>
      <c r="K856" s="91" t="n"/>
      <c r="L856" s="91" t="n"/>
      <c r="M856" s="95" t="n"/>
      <c r="N856" s="91" t="n"/>
      <c r="O856" s="91" t="n"/>
      <c r="P856" s="91" t="n"/>
    </row>
    <row r="857" ht="32" customHeight="1">
      <c r="A857" s="92" t="n"/>
      <c r="B857" s="92" t="n"/>
      <c r="C857" s="92" t="n"/>
      <c r="D857" s="92" t="n"/>
      <c r="E857" s="92" t="n"/>
      <c r="F857" s="96" t="n"/>
      <c r="G857" s="96" t="n"/>
      <c r="H857" s="92" t="n"/>
      <c r="I857" s="92" t="n"/>
      <c r="J857" s="92" t="n"/>
      <c r="K857" s="92" t="n"/>
      <c r="L857" s="92" t="n"/>
      <c r="M857" s="97" t="n"/>
      <c r="N857" s="92" t="n"/>
      <c r="O857" s="92" t="n"/>
      <c r="P857" s="92" t="n"/>
    </row>
    <row r="858" ht="32" customHeight="1">
      <c r="A858" s="91" t="n"/>
      <c r="B858" s="91" t="n"/>
      <c r="C858" s="91" t="n"/>
      <c r="D858" s="91" t="n"/>
      <c r="E858" s="91" t="n"/>
      <c r="F858" s="94" t="n"/>
      <c r="G858" s="94" t="n"/>
      <c r="H858" s="91" t="n"/>
      <c r="I858" s="91" t="n"/>
      <c r="J858" s="91" t="n"/>
      <c r="K858" s="91" t="n"/>
      <c r="L858" s="91" t="n"/>
      <c r="M858" s="95" t="n"/>
      <c r="N858" s="91" t="n"/>
      <c r="O858" s="91" t="n"/>
      <c r="P858" s="91" t="n"/>
    </row>
    <row r="859" ht="32" customHeight="1">
      <c r="A859" s="92" t="n"/>
      <c r="B859" s="92" t="n"/>
      <c r="C859" s="92" t="n"/>
      <c r="D859" s="92" t="n"/>
      <c r="E859" s="92" t="n"/>
      <c r="F859" s="96" t="n"/>
      <c r="G859" s="96" t="n"/>
      <c r="H859" s="92" t="n"/>
      <c r="I859" s="92" t="n"/>
      <c r="J859" s="92" t="n"/>
      <c r="K859" s="92" t="n"/>
      <c r="L859" s="92" t="n"/>
      <c r="M859" s="97" t="n"/>
      <c r="N859" s="92" t="n"/>
      <c r="O859" s="92" t="n"/>
      <c r="P859" s="92" t="n"/>
    </row>
    <row r="860" ht="32" customHeight="1">
      <c r="A860" s="91" t="n"/>
      <c r="B860" s="91" t="n"/>
      <c r="C860" s="91" t="n"/>
      <c r="D860" s="91" t="n"/>
      <c r="E860" s="91" t="n"/>
      <c r="F860" s="94" t="n"/>
      <c r="G860" s="94" t="n"/>
      <c r="H860" s="91" t="n"/>
      <c r="I860" s="91" t="n"/>
      <c r="J860" s="91" t="n"/>
      <c r="K860" s="91" t="n"/>
      <c r="L860" s="91" t="n"/>
      <c r="M860" s="95" t="n"/>
      <c r="N860" s="91" t="n"/>
      <c r="O860" s="91" t="n"/>
      <c r="P860" s="91" t="n"/>
    </row>
    <row r="861" ht="32" customHeight="1">
      <c r="A861" s="92" t="n"/>
      <c r="B861" s="92" t="n"/>
      <c r="C861" s="92" t="n"/>
      <c r="D861" s="92" t="n"/>
      <c r="E861" s="92" t="n"/>
      <c r="F861" s="96" t="n"/>
      <c r="G861" s="96" t="n"/>
      <c r="H861" s="92" t="n"/>
      <c r="I861" s="92" t="n"/>
      <c r="J861" s="92" t="n"/>
      <c r="K861" s="92" t="n"/>
      <c r="L861" s="92" t="n"/>
      <c r="M861" s="97" t="n"/>
      <c r="N861" s="92" t="n"/>
      <c r="O861" s="92" t="n"/>
      <c r="P861" s="92" t="n"/>
    </row>
    <row r="862" ht="32" customHeight="1">
      <c r="A862" s="91" t="n"/>
      <c r="B862" s="91" t="n"/>
      <c r="C862" s="91" t="n"/>
      <c r="D862" s="91" t="n"/>
      <c r="E862" s="91" t="n"/>
      <c r="F862" s="94" t="n"/>
      <c r="G862" s="94" t="n"/>
      <c r="H862" s="91" t="n"/>
      <c r="I862" s="91" t="n"/>
      <c r="J862" s="91" t="n"/>
      <c r="K862" s="91" t="n"/>
      <c r="L862" s="91" t="n"/>
      <c r="M862" s="95" t="n"/>
      <c r="N862" s="91" t="n"/>
      <c r="O862" s="91" t="n"/>
      <c r="P862" s="91" t="n"/>
    </row>
    <row r="863" ht="32" customHeight="1">
      <c r="A863" s="92" t="n"/>
      <c r="B863" s="92" t="n"/>
      <c r="C863" s="92" t="n"/>
      <c r="D863" s="92" t="n"/>
      <c r="E863" s="92" t="n"/>
      <c r="F863" s="96" t="n"/>
      <c r="G863" s="96" t="n"/>
      <c r="H863" s="92" t="n"/>
      <c r="I863" s="92" t="n"/>
      <c r="J863" s="92" t="n"/>
      <c r="K863" s="92" t="n"/>
      <c r="L863" s="92" t="n"/>
      <c r="M863" s="97" t="n"/>
      <c r="N863" s="92" t="n"/>
      <c r="O863" s="92" t="n"/>
      <c r="P863" s="92" t="n"/>
    </row>
    <row r="864" ht="32" customHeight="1">
      <c r="A864" s="91" t="n"/>
      <c r="B864" s="91" t="n"/>
      <c r="C864" s="91" t="n"/>
      <c r="D864" s="91" t="n"/>
      <c r="E864" s="91" t="n"/>
      <c r="F864" s="94" t="n"/>
      <c r="G864" s="94" t="n"/>
      <c r="H864" s="91" t="n"/>
      <c r="I864" s="91" t="n"/>
      <c r="J864" s="91" t="n"/>
      <c r="K864" s="91" t="n"/>
      <c r="L864" s="91" t="n"/>
      <c r="M864" s="95" t="n"/>
      <c r="N864" s="91" t="n"/>
      <c r="O864" s="91" t="n"/>
      <c r="P864" s="91" t="n"/>
    </row>
    <row r="865" ht="32" customHeight="1">
      <c r="A865" s="92" t="n"/>
      <c r="B865" s="92" t="n"/>
      <c r="C865" s="92" t="n"/>
      <c r="D865" s="92" t="n"/>
      <c r="E865" s="92" t="n"/>
      <c r="F865" s="96" t="n"/>
      <c r="G865" s="96" t="n"/>
      <c r="H865" s="92" t="n"/>
      <c r="I865" s="92" t="n"/>
      <c r="J865" s="92" t="n"/>
      <c r="K865" s="92" t="n"/>
      <c r="L865" s="92" t="n"/>
      <c r="M865" s="97" t="n"/>
      <c r="N865" s="92" t="n"/>
      <c r="O865" s="92" t="n"/>
      <c r="P865" s="92" t="n"/>
    </row>
    <row r="866" ht="32" customHeight="1">
      <c r="A866" s="91" t="n"/>
      <c r="B866" s="91" t="n"/>
      <c r="C866" s="91" t="n"/>
      <c r="D866" s="91" t="n"/>
      <c r="E866" s="91" t="n"/>
      <c r="F866" s="94" t="n"/>
      <c r="G866" s="94" t="n"/>
      <c r="H866" s="91" t="n"/>
      <c r="I866" s="91" t="n"/>
      <c r="J866" s="91" t="n"/>
      <c r="K866" s="91" t="n"/>
      <c r="L866" s="91" t="n"/>
      <c r="M866" s="95" t="n"/>
      <c r="N866" s="91" t="n"/>
      <c r="O866" s="91" t="n"/>
      <c r="P866" s="91" t="n"/>
    </row>
    <row r="867" ht="32" customHeight="1">
      <c r="A867" s="92" t="n"/>
      <c r="B867" s="92" t="n"/>
      <c r="C867" s="92" t="n"/>
      <c r="D867" s="92" t="n"/>
      <c r="E867" s="92" t="n"/>
      <c r="F867" s="96" t="n"/>
      <c r="G867" s="96" t="n"/>
      <c r="H867" s="92" t="n"/>
      <c r="I867" s="92" t="n"/>
      <c r="J867" s="92" t="n"/>
      <c r="K867" s="92" t="n"/>
      <c r="L867" s="92" t="n"/>
      <c r="M867" s="97" t="n"/>
      <c r="N867" s="92" t="n"/>
      <c r="O867" s="92" t="n"/>
      <c r="P867" s="92" t="n"/>
    </row>
    <row r="868" ht="32" customHeight="1">
      <c r="A868" s="91" t="n"/>
      <c r="B868" s="91" t="n"/>
      <c r="C868" s="91" t="n"/>
      <c r="D868" s="91" t="n"/>
      <c r="E868" s="91" t="n"/>
      <c r="F868" s="94" t="n"/>
      <c r="G868" s="94" t="n"/>
      <c r="H868" s="91" t="n"/>
      <c r="I868" s="91" t="n"/>
      <c r="J868" s="91" t="n"/>
      <c r="K868" s="91" t="n"/>
      <c r="L868" s="91" t="n"/>
      <c r="M868" s="95" t="n"/>
      <c r="N868" s="91" t="n"/>
      <c r="O868" s="91" t="n"/>
      <c r="P868" s="91" t="n"/>
    </row>
    <row r="869" ht="32" customHeight="1">
      <c r="A869" s="92" t="n"/>
      <c r="B869" s="92" t="n"/>
      <c r="C869" s="92" t="n"/>
      <c r="D869" s="92" t="n"/>
      <c r="E869" s="92" t="n"/>
      <c r="F869" s="96" t="n"/>
      <c r="G869" s="96" t="n"/>
      <c r="H869" s="92" t="n"/>
      <c r="I869" s="92" t="n"/>
      <c r="J869" s="92" t="n"/>
      <c r="K869" s="92" t="n"/>
      <c r="L869" s="92" t="n"/>
      <c r="M869" s="97" t="n"/>
      <c r="N869" s="92" t="n"/>
      <c r="O869" s="92" t="n"/>
      <c r="P869" s="92" t="n"/>
    </row>
    <row r="870" ht="32" customHeight="1">
      <c r="A870" s="91" t="n"/>
      <c r="B870" s="91" t="n"/>
      <c r="C870" s="91" t="n"/>
      <c r="D870" s="91" t="n"/>
      <c r="E870" s="91" t="n"/>
      <c r="F870" s="94" t="n"/>
      <c r="G870" s="94" t="n"/>
      <c r="H870" s="91" t="n"/>
      <c r="I870" s="91" t="n"/>
      <c r="J870" s="91" t="n"/>
      <c r="K870" s="91" t="n"/>
      <c r="L870" s="91" t="n"/>
      <c r="M870" s="95" t="n"/>
      <c r="N870" s="91" t="n"/>
      <c r="O870" s="91" t="n"/>
      <c r="P870" s="91" t="n"/>
    </row>
    <row r="871" ht="32" customHeight="1">
      <c r="A871" s="92" t="n"/>
      <c r="B871" s="92" t="n"/>
      <c r="C871" s="92" t="n"/>
      <c r="D871" s="92" t="n"/>
      <c r="E871" s="92" t="n"/>
      <c r="F871" s="96" t="n"/>
      <c r="G871" s="96" t="n"/>
      <c r="H871" s="92" t="n"/>
      <c r="I871" s="92" t="n"/>
      <c r="J871" s="92" t="n"/>
      <c r="K871" s="92" t="n"/>
      <c r="L871" s="92" t="n"/>
      <c r="M871" s="97" t="n"/>
      <c r="N871" s="92" t="n"/>
      <c r="O871" s="92" t="n"/>
      <c r="P871" s="92" t="n"/>
    </row>
    <row r="872" ht="32" customHeight="1">
      <c r="A872" s="91" t="n"/>
      <c r="B872" s="91" t="n"/>
      <c r="C872" s="91" t="n"/>
      <c r="D872" s="91" t="n"/>
      <c r="E872" s="91" t="n"/>
      <c r="F872" s="94" t="n"/>
      <c r="G872" s="94" t="n"/>
      <c r="H872" s="91" t="n"/>
      <c r="I872" s="91" t="n"/>
      <c r="J872" s="91" t="n"/>
      <c r="K872" s="91" t="n"/>
      <c r="L872" s="91" t="n"/>
      <c r="M872" s="95" t="n"/>
      <c r="N872" s="91" t="n"/>
      <c r="O872" s="91" t="n"/>
      <c r="P872" s="91" t="n"/>
    </row>
    <row r="873" ht="32" customHeight="1">
      <c r="A873" s="92" t="n"/>
      <c r="B873" s="92" t="n"/>
      <c r="C873" s="92" t="n"/>
      <c r="D873" s="92" t="n"/>
      <c r="E873" s="92" t="n"/>
      <c r="F873" s="96" t="n"/>
      <c r="G873" s="96" t="n"/>
      <c r="H873" s="92" t="n"/>
      <c r="I873" s="92" t="n"/>
      <c r="J873" s="92" t="n"/>
      <c r="K873" s="92" t="n"/>
      <c r="L873" s="92" t="n"/>
      <c r="M873" s="97" t="n"/>
      <c r="N873" s="92" t="n"/>
      <c r="O873" s="92" t="n"/>
      <c r="P873" s="92" t="n"/>
    </row>
    <row r="874" ht="32" customHeight="1">
      <c r="A874" s="91" t="n"/>
      <c r="B874" s="91" t="n"/>
      <c r="C874" s="91" t="n"/>
      <c r="D874" s="91" t="n"/>
      <c r="E874" s="91" t="n"/>
      <c r="F874" s="94" t="n"/>
      <c r="G874" s="94" t="n"/>
      <c r="H874" s="91" t="n"/>
      <c r="I874" s="91" t="n"/>
      <c r="J874" s="91" t="n"/>
      <c r="K874" s="91" t="n"/>
      <c r="L874" s="91" t="n"/>
      <c r="M874" s="95" t="n"/>
      <c r="N874" s="91" t="n"/>
      <c r="O874" s="91" t="n"/>
      <c r="P874" s="91" t="n"/>
    </row>
    <row r="875" ht="32" customHeight="1">
      <c r="A875" s="92" t="n"/>
      <c r="B875" s="92" t="n"/>
      <c r="C875" s="92" t="n"/>
      <c r="D875" s="92" t="n"/>
      <c r="E875" s="92" t="n"/>
      <c r="F875" s="96" t="n"/>
      <c r="G875" s="96" t="n"/>
      <c r="H875" s="92" t="n"/>
      <c r="I875" s="92" t="n"/>
      <c r="J875" s="92" t="n"/>
      <c r="K875" s="92" t="n"/>
      <c r="L875" s="92" t="n"/>
      <c r="M875" s="97" t="n"/>
      <c r="N875" s="92" t="n"/>
      <c r="O875" s="92" t="n"/>
      <c r="P875" s="92" t="n"/>
    </row>
    <row r="876" ht="32" customHeight="1">
      <c r="A876" s="91" t="n"/>
      <c r="B876" s="91" t="n"/>
      <c r="C876" s="91" t="n"/>
      <c r="D876" s="91" t="n"/>
      <c r="E876" s="91" t="n"/>
      <c r="F876" s="94" t="n"/>
      <c r="G876" s="94" t="n"/>
      <c r="H876" s="91" t="n"/>
      <c r="I876" s="91" t="n"/>
      <c r="J876" s="91" t="n"/>
      <c r="K876" s="91" t="n"/>
      <c r="L876" s="91" t="n"/>
      <c r="M876" s="95" t="n"/>
      <c r="N876" s="91" t="n"/>
      <c r="O876" s="91" t="n"/>
      <c r="P876" s="91" t="n"/>
    </row>
    <row r="877" ht="32" customHeight="1">
      <c r="A877" s="92" t="n"/>
      <c r="B877" s="92" t="n"/>
      <c r="C877" s="92" t="n"/>
      <c r="D877" s="92" t="n"/>
      <c r="E877" s="92" t="n"/>
      <c r="F877" s="96" t="n"/>
      <c r="G877" s="96" t="n"/>
      <c r="H877" s="92" t="n"/>
      <c r="I877" s="92" t="n"/>
      <c r="J877" s="92" t="n"/>
      <c r="K877" s="92" t="n"/>
      <c r="L877" s="92" t="n"/>
      <c r="M877" s="97" t="n"/>
      <c r="N877" s="92" t="n"/>
      <c r="O877" s="92" t="n"/>
      <c r="P877" s="92" t="n"/>
    </row>
    <row r="878" ht="32" customHeight="1">
      <c r="A878" s="91" t="n"/>
      <c r="B878" s="91" t="n"/>
      <c r="C878" s="91" t="n"/>
      <c r="D878" s="91" t="n"/>
      <c r="E878" s="91" t="n"/>
      <c r="F878" s="94" t="n"/>
      <c r="G878" s="94" t="n"/>
      <c r="H878" s="91" t="n"/>
      <c r="I878" s="91" t="n"/>
      <c r="J878" s="91" t="n"/>
      <c r="K878" s="91" t="n"/>
      <c r="L878" s="91" t="n"/>
      <c r="M878" s="95" t="n"/>
      <c r="N878" s="91" t="n"/>
      <c r="O878" s="91" t="n"/>
      <c r="P878" s="91" t="n"/>
    </row>
    <row r="879" ht="32" customHeight="1">
      <c r="A879" s="92" t="n"/>
      <c r="B879" s="92" t="n"/>
      <c r="C879" s="92" t="n"/>
      <c r="D879" s="92" t="n"/>
      <c r="E879" s="92" t="n"/>
      <c r="F879" s="96" t="n"/>
      <c r="G879" s="96" t="n"/>
      <c r="H879" s="92" t="n"/>
      <c r="I879" s="92" t="n"/>
      <c r="J879" s="92" t="n"/>
      <c r="K879" s="92" t="n"/>
      <c r="L879" s="92" t="n"/>
      <c r="M879" s="97" t="n"/>
      <c r="N879" s="92" t="n"/>
      <c r="O879" s="92" t="n"/>
      <c r="P879" s="92" t="n"/>
    </row>
    <row r="880" ht="32" customHeight="1">
      <c r="A880" s="91" t="n"/>
      <c r="B880" s="91" t="n"/>
      <c r="C880" s="91" t="n"/>
      <c r="D880" s="91" t="n"/>
      <c r="E880" s="91" t="n"/>
      <c r="F880" s="94" t="n"/>
      <c r="G880" s="94" t="n"/>
      <c r="H880" s="91" t="n"/>
      <c r="I880" s="91" t="n"/>
      <c r="J880" s="91" t="n"/>
      <c r="K880" s="91" t="n"/>
      <c r="L880" s="91" t="n"/>
      <c r="M880" s="95" t="n"/>
      <c r="N880" s="91" t="n"/>
      <c r="O880" s="91" t="n"/>
      <c r="P880" s="91" t="n"/>
    </row>
    <row r="881" ht="32" customHeight="1">
      <c r="A881" s="92" t="n"/>
      <c r="B881" s="92" t="n"/>
      <c r="C881" s="92" t="n"/>
      <c r="D881" s="92" t="n"/>
      <c r="E881" s="92" t="n"/>
      <c r="F881" s="96" t="n"/>
      <c r="G881" s="96" t="n"/>
      <c r="H881" s="92" t="n"/>
      <c r="I881" s="92" t="n"/>
      <c r="J881" s="92" t="n"/>
      <c r="K881" s="92" t="n"/>
      <c r="L881" s="92" t="n"/>
      <c r="M881" s="97" t="n"/>
      <c r="N881" s="92" t="n"/>
      <c r="O881" s="92" t="n"/>
      <c r="P881" s="92" t="n"/>
    </row>
    <row r="882" ht="32" customHeight="1">
      <c r="A882" s="91" t="n"/>
      <c r="B882" s="91" t="n"/>
      <c r="C882" s="91" t="n"/>
      <c r="D882" s="91" t="n"/>
      <c r="E882" s="91" t="n"/>
      <c r="F882" s="94" t="n"/>
      <c r="G882" s="94" t="n"/>
      <c r="H882" s="91" t="n"/>
      <c r="I882" s="91" t="n"/>
      <c r="J882" s="91" t="n"/>
      <c r="K882" s="91" t="n"/>
      <c r="L882" s="91" t="n"/>
      <c r="M882" s="95" t="n"/>
      <c r="N882" s="91" t="n"/>
      <c r="O882" s="91" t="n"/>
      <c r="P882" s="91" t="n"/>
    </row>
    <row r="883" ht="32" customHeight="1">
      <c r="A883" s="92" t="n"/>
      <c r="B883" s="92" t="n"/>
      <c r="C883" s="92" t="n"/>
      <c r="D883" s="92" t="n"/>
      <c r="E883" s="92" t="n"/>
      <c r="F883" s="96" t="n"/>
      <c r="G883" s="96" t="n"/>
      <c r="H883" s="92" t="n"/>
      <c r="I883" s="92" t="n"/>
      <c r="J883" s="92" t="n"/>
      <c r="K883" s="92" t="n"/>
      <c r="L883" s="92" t="n"/>
      <c r="M883" s="97" t="n"/>
      <c r="N883" s="92" t="n"/>
      <c r="O883" s="92" t="n"/>
      <c r="P883" s="92" t="n"/>
    </row>
    <row r="884" ht="32" customHeight="1">
      <c r="A884" s="91" t="n"/>
      <c r="B884" s="91" t="n"/>
      <c r="C884" s="91" t="n"/>
      <c r="D884" s="91" t="n"/>
      <c r="E884" s="91" t="n"/>
      <c r="F884" s="94" t="n"/>
      <c r="G884" s="94" t="n"/>
      <c r="H884" s="91" t="n"/>
      <c r="I884" s="91" t="n"/>
      <c r="J884" s="91" t="n"/>
      <c r="K884" s="91" t="n"/>
      <c r="L884" s="91" t="n"/>
      <c r="M884" s="95" t="n"/>
      <c r="N884" s="91" t="n"/>
      <c r="O884" s="91" t="n"/>
      <c r="P884" s="91" t="n"/>
    </row>
    <row r="885" ht="32" customHeight="1">
      <c r="A885" s="92" t="n"/>
      <c r="B885" s="92" t="n"/>
      <c r="C885" s="92" t="n"/>
      <c r="D885" s="92" t="n"/>
      <c r="E885" s="92" t="n"/>
      <c r="F885" s="96" t="n"/>
      <c r="G885" s="96" t="n"/>
      <c r="H885" s="92" t="n"/>
      <c r="I885" s="92" t="n"/>
      <c r="J885" s="92" t="n"/>
      <c r="K885" s="92" t="n"/>
      <c r="L885" s="92" t="n"/>
      <c r="M885" s="97" t="n"/>
      <c r="N885" s="92" t="n"/>
      <c r="O885" s="92" t="n"/>
      <c r="P885" s="92" t="n"/>
    </row>
    <row r="886" ht="32" customHeight="1">
      <c r="A886" s="91" t="n"/>
      <c r="B886" s="91" t="n"/>
      <c r="C886" s="91" t="n"/>
      <c r="D886" s="91" t="n"/>
      <c r="E886" s="91" t="n"/>
      <c r="F886" s="94" t="n"/>
      <c r="G886" s="94" t="n"/>
      <c r="H886" s="91" t="n"/>
      <c r="I886" s="91" t="n"/>
      <c r="J886" s="91" t="n"/>
      <c r="K886" s="91" t="n"/>
      <c r="L886" s="91" t="n"/>
      <c r="M886" s="95" t="n"/>
      <c r="N886" s="91" t="n"/>
      <c r="O886" s="91" t="n"/>
      <c r="P886" s="91" t="n"/>
    </row>
    <row r="887" ht="32" customHeight="1">
      <c r="A887" s="92" t="n"/>
      <c r="B887" s="92" t="n"/>
      <c r="C887" s="92" t="n"/>
      <c r="D887" s="92" t="n"/>
      <c r="E887" s="92" t="n"/>
      <c r="F887" s="96" t="n"/>
      <c r="G887" s="96" t="n"/>
      <c r="H887" s="92" t="n"/>
      <c r="I887" s="92" t="n"/>
      <c r="J887" s="92" t="n"/>
      <c r="K887" s="92" t="n"/>
      <c r="L887" s="92" t="n"/>
      <c r="M887" s="97" t="n"/>
      <c r="N887" s="92" t="n"/>
      <c r="O887" s="92" t="n"/>
      <c r="P887" s="92" t="n"/>
    </row>
    <row r="888" ht="32" customHeight="1">
      <c r="A888" s="91" t="n"/>
      <c r="B888" s="91" t="n"/>
      <c r="C888" s="91" t="n"/>
      <c r="D888" s="91" t="n"/>
      <c r="E888" s="91" t="n"/>
      <c r="F888" s="94" t="n"/>
      <c r="G888" s="94" t="n"/>
      <c r="H888" s="91" t="n"/>
      <c r="I888" s="91" t="n"/>
      <c r="J888" s="91" t="n"/>
      <c r="K888" s="91" t="n"/>
      <c r="L888" s="91" t="n"/>
      <c r="M888" s="95" t="n"/>
      <c r="N888" s="91" t="n"/>
      <c r="O888" s="91" t="n"/>
      <c r="P888" s="91" t="n"/>
    </row>
    <row r="889" ht="32" customHeight="1">
      <c r="A889" s="92" t="n"/>
      <c r="B889" s="92" t="n"/>
      <c r="C889" s="92" t="n"/>
      <c r="D889" s="92" t="n"/>
      <c r="E889" s="92" t="n"/>
      <c r="F889" s="96" t="n"/>
      <c r="G889" s="96" t="n"/>
      <c r="H889" s="92" t="n"/>
      <c r="I889" s="92" t="n"/>
      <c r="J889" s="92" t="n"/>
      <c r="K889" s="92" t="n"/>
      <c r="L889" s="92" t="n"/>
      <c r="M889" s="97" t="n"/>
      <c r="N889" s="92" t="n"/>
      <c r="O889" s="92" t="n"/>
      <c r="P889" s="92" t="n"/>
    </row>
    <row r="890" ht="32" customHeight="1">
      <c r="A890" s="91" t="n"/>
      <c r="B890" s="91" t="n"/>
      <c r="C890" s="91" t="n"/>
      <c r="D890" s="91" t="n"/>
      <c r="E890" s="91" t="n"/>
      <c r="F890" s="94" t="n"/>
      <c r="G890" s="94" t="n"/>
      <c r="H890" s="91" t="n"/>
      <c r="I890" s="91" t="n"/>
      <c r="J890" s="91" t="n"/>
      <c r="K890" s="91" t="n"/>
      <c r="L890" s="91" t="n"/>
      <c r="M890" s="95" t="n"/>
      <c r="N890" s="91" t="n"/>
      <c r="O890" s="91" t="n"/>
      <c r="P890" s="91" t="n"/>
    </row>
    <row r="891" ht="32" customHeight="1">
      <c r="A891" s="92" t="n"/>
      <c r="B891" s="92" t="n"/>
      <c r="C891" s="92" t="n"/>
      <c r="D891" s="92" t="n"/>
      <c r="E891" s="92" t="n"/>
      <c r="F891" s="96" t="n"/>
      <c r="G891" s="96" t="n"/>
      <c r="H891" s="92" t="n"/>
      <c r="I891" s="92" t="n"/>
      <c r="J891" s="92" t="n"/>
      <c r="K891" s="92" t="n"/>
      <c r="L891" s="92" t="n"/>
      <c r="M891" s="97" t="n"/>
      <c r="N891" s="92" t="n"/>
      <c r="O891" s="92" t="n"/>
      <c r="P891" s="92" t="n"/>
    </row>
    <row r="892" ht="32" customHeight="1">
      <c r="A892" s="91" t="n"/>
      <c r="B892" s="91" t="n"/>
      <c r="C892" s="91" t="n"/>
      <c r="D892" s="91" t="n"/>
      <c r="E892" s="91" t="n"/>
      <c r="F892" s="94" t="n"/>
      <c r="G892" s="94" t="n"/>
      <c r="H892" s="91" t="n"/>
      <c r="I892" s="91" t="n"/>
      <c r="J892" s="91" t="n"/>
      <c r="K892" s="91" t="n"/>
      <c r="L892" s="91" t="n"/>
      <c r="M892" s="95" t="n"/>
      <c r="N892" s="91" t="n"/>
      <c r="O892" s="91" t="n"/>
      <c r="P892" s="91" t="n"/>
    </row>
    <row r="893" ht="32" customHeight="1">
      <c r="A893" s="92" t="n"/>
      <c r="B893" s="92" t="n"/>
      <c r="C893" s="92" t="n"/>
      <c r="D893" s="92" t="n"/>
      <c r="E893" s="92" t="n"/>
      <c r="F893" s="96" t="n"/>
      <c r="G893" s="96" t="n"/>
      <c r="H893" s="92" t="n"/>
      <c r="I893" s="92" t="n"/>
      <c r="J893" s="92" t="n"/>
      <c r="K893" s="92" t="n"/>
      <c r="L893" s="92" t="n"/>
      <c r="M893" s="97" t="n"/>
      <c r="N893" s="92" t="n"/>
      <c r="O893" s="92" t="n"/>
      <c r="P893" s="92" t="n"/>
    </row>
    <row r="894" ht="32" customHeight="1">
      <c r="A894" s="91" t="n"/>
      <c r="B894" s="91" t="n"/>
      <c r="C894" s="91" t="n"/>
      <c r="D894" s="91" t="n"/>
      <c r="E894" s="91" t="n"/>
      <c r="F894" s="94" t="n"/>
      <c r="G894" s="94" t="n"/>
      <c r="H894" s="91" t="n"/>
      <c r="I894" s="91" t="n"/>
      <c r="J894" s="91" t="n"/>
      <c r="K894" s="91" t="n"/>
      <c r="L894" s="91" t="n"/>
      <c r="M894" s="95" t="n"/>
      <c r="N894" s="91" t="n"/>
      <c r="O894" s="91" t="n"/>
      <c r="P894" s="91" t="n"/>
    </row>
    <row r="895" ht="32" customHeight="1">
      <c r="A895" s="92" t="n"/>
      <c r="B895" s="92" t="n"/>
      <c r="C895" s="92" t="n"/>
      <c r="D895" s="92" t="n"/>
      <c r="E895" s="92" t="n"/>
      <c r="F895" s="96" t="n"/>
      <c r="G895" s="96" t="n"/>
      <c r="H895" s="92" t="n"/>
      <c r="I895" s="92" t="n"/>
      <c r="J895" s="92" t="n"/>
      <c r="K895" s="92" t="n"/>
      <c r="L895" s="92" t="n"/>
      <c r="M895" s="97" t="n"/>
      <c r="N895" s="92" t="n"/>
      <c r="O895" s="92" t="n"/>
      <c r="P895" s="92" t="n"/>
    </row>
    <row r="896" ht="32" customHeight="1">
      <c r="A896" s="91" t="n"/>
      <c r="B896" s="91" t="n"/>
      <c r="C896" s="91" t="n"/>
      <c r="D896" s="91" t="n"/>
      <c r="E896" s="91" t="n"/>
      <c r="F896" s="94" t="n"/>
      <c r="G896" s="94" t="n"/>
      <c r="H896" s="91" t="n"/>
      <c r="I896" s="91" t="n"/>
      <c r="J896" s="91" t="n"/>
      <c r="K896" s="91" t="n"/>
      <c r="L896" s="91" t="n"/>
      <c r="M896" s="95" t="n"/>
      <c r="N896" s="91" t="n"/>
      <c r="O896" s="91" t="n"/>
      <c r="P896" s="91" t="n"/>
    </row>
    <row r="897" ht="32" customHeight="1">
      <c r="A897" s="92" t="n"/>
      <c r="B897" s="92" t="n"/>
      <c r="C897" s="92" t="n"/>
      <c r="D897" s="92" t="n"/>
      <c r="E897" s="92" t="n"/>
      <c r="F897" s="96" t="n"/>
      <c r="G897" s="96" t="n"/>
      <c r="H897" s="92" t="n"/>
      <c r="I897" s="92" t="n"/>
      <c r="J897" s="92" t="n"/>
      <c r="K897" s="92" t="n"/>
      <c r="L897" s="92" t="n"/>
      <c r="M897" s="97" t="n"/>
      <c r="N897" s="92" t="n"/>
      <c r="O897" s="92" t="n"/>
      <c r="P897" s="92" t="n"/>
    </row>
    <row r="898" ht="32" customHeight="1">
      <c r="A898" s="91" t="n"/>
      <c r="B898" s="91" t="n"/>
      <c r="C898" s="91" t="n"/>
      <c r="D898" s="91" t="n"/>
      <c r="E898" s="91" t="n"/>
      <c r="F898" s="94" t="n"/>
      <c r="G898" s="94" t="n"/>
      <c r="H898" s="91" t="n"/>
      <c r="I898" s="91" t="n"/>
      <c r="J898" s="91" t="n"/>
      <c r="K898" s="91" t="n"/>
      <c r="L898" s="91" t="n"/>
      <c r="M898" s="95" t="n"/>
      <c r="N898" s="91" t="n"/>
      <c r="O898" s="91" t="n"/>
      <c r="P898" s="91" t="n"/>
    </row>
    <row r="899" ht="32" customHeight="1">
      <c r="A899" s="92" t="n"/>
      <c r="B899" s="92" t="n"/>
      <c r="C899" s="92" t="n"/>
      <c r="D899" s="92" t="n"/>
      <c r="E899" s="92" t="n"/>
      <c r="F899" s="96" t="n"/>
      <c r="G899" s="96" t="n"/>
      <c r="H899" s="92" t="n"/>
      <c r="I899" s="92" t="n"/>
      <c r="J899" s="92" t="n"/>
      <c r="K899" s="92" t="n"/>
      <c r="L899" s="92" t="n"/>
      <c r="M899" s="97" t="n"/>
      <c r="N899" s="92" t="n"/>
      <c r="O899" s="92" t="n"/>
      <c r="P899" s="92" t="n"/>
    </row>
    <row r="900" ht="32" customHeight="1">
      <c r="A900" s="91" t="n"/>
      <c r="B900" s="91" t="n"/>
      <c r="C900" s="91" t="n"/>
      <c r="D900" s="91" t="n"/>
      <c r="E900" s="91" t="n"/>
      <c r="F900" s="94" t="n"/>
      <c r="G900" s="94" t="n"/>
      <c r="H900" s="91" t="n"/>
      <c r="I900" s="91" t="n"/>
      <c r="J900" s="91" t="n"/>
      <c r="K900" s="91" t="n"/>
      <c r="L900" s="91" t="n"/>
      <c r="M900" s="95" t="n"/>
      <c r="N900" s="91" t="n"/>
      <c r="O900" s="91" t="n"/>
      <c r="P900" s="91" t="n"/>
    </row>
    <row r="901" ht="32" customHeight="1">
      <c r="A901" s="92" t="n"/>
      <c r="B901" s="92" t="n"/>
      <c r="C901" s="92" t="n"/>
      <c r="D901" s="92" t="n"/>
      <c r="E901" s="92" t="n"/>
      <c r="F901" s="96" t="n"/>
      <c r="G901" s="96" t="n"/>
      <c r="H901" s="92" t="n"/>
      <c r="I901" s="92" t="n"/>
      <c r="J901" s="92" t="n"/>
      <c r="K901" s="92" t="n"/>
      <c r="L901" s="92" t="n"/>
      <c r="M901" s="97" t="n"/>
      <c r="N901" s="92" t="n"/>
      <c r="O901" s="92" t="n"/>
      <c r="P901" s="92" t="n"/>
    </row>
    <row r="902" ht="32" customHeight="1">
      <c r="A902" s="91" t="n"/>
      <c r="B902" s="91" t="n"/>
      <c r="C902" s="91" t="n"/>
      <c r="D902" s="91" t="n"/>
      <c r="E902" s="91" t="n"/>
      <c r="F902" s="94" t="n"/>
      <c r="G902" s="94" t="n"/>
      <c r="H902" s="91" t="n"/>
      <c r="I902" s="91" t="n"/>
      <c r="J902" s="91" t="n"/>
      <c r="K902" s="91" t="n"/>
      <c r="L902" s="91" t="n"/>
      <c r="M902" s="95" t="n"/>
      <c r="N902" s="91" t="n"/>
      <c r="O902" s="91" t="n"/>
      <c r="P902" s="91" t="n"/>
    </row>
    <row r="903" ht="32" customHeight="1">
      <c r="A903" s="92" t="n"/>
      <c r="B903" s="92" t="n"/>
      <c r="C903" s="92" t="n"/>
      <c r="D903" s="92" t="n"/>
      <c r="E903" s="92" t="n"/>
      <c r="F903" s="96" t="n"/>
      <c r="G903" s="96" t="n"/>
      <c r="H903" s="92" t="n"/>
      <c r="I903" s="92" t="n"/>
      <c r="J903" s="92" t="n"/>
      <c r="K903" s="92" t="n"/>
      <c r="L903" s="92" t="n"/>
      <c r="M903" s="97" t="n"/>
      <c r="N903" s="92" t="n"/>
      <c r="O903" s="92" t="n"/>
      <c r="P903" s="92" t="n"/>
    </row>
    <row r="904" ht="32" customHeight="1">
      <c r="A904" s="91" t="n"/>
      <c r="B904" s="91" t="n"/>
      <c r="C904" s="91" t="n"/>
      <c r="D904" s="91" t="n"/>
      <c r="E904" s="91" t="n"/>
      <c r="F904" s="94" t="n"/>
      <c r="G904" s="94" t="n"/>
      <c r="H904" s="91" t="n"/>
      <c r="I904" s="91" t="n"/>
      <c r="J904" s="91" t="n"/>
      <c r="K904" s="91" t="n"/>
      <c r="L904" s="91" t="n"/>
      <c r="M904" s="95" t="n"/>
      <c r="N904" s="91" t="n"/>
      <c r="O904" s="91" t="n"/>
      <c r="P904" s="91" t="n"/>
    </row>
    <row r="905" ht="32" customHeight="1">
      <c r="A905" s="92" t="n"/>
      <c r="B905" s="92" t="n"/>
      <c r="C905" s="92" t="n"/>
      <c r="D905" s="92" t="n"/>
      <c r="E905" s="92" t="n"/>
      <c r="F905" s="96" t="n"/>
      <c r="G905" s="96" t="n"/>
      <c r="H905" s="92" t="n"/>
      <c r="I905" s="92" t="n"/>
      <c r="J905" s="92" t="n"/>
      <c r="K905" s="92" t="n"/>
      <c r="L905" s="92" t="n"/>
      <c r="M905" s="97" t="n"/>
      <c r="N905" s="92" t="n"/>
      <c r="O905" s="92" t="n"/>
      <c r="P905" s="92" t="n"/>
    </row>
    <row r="906" ht="32" customHeight="1">
      <c r="A906" s="91" t="n"/>
      <c r="B906" s="91" t="n"/>
      <c r="C906" s="91" t="n"/>
      <c r="D906" s="91" t="n"/>
      <c r="E906" s="91" t="n"/>
      <c r="F906" s="94" t="n"/>
      <c r="G906" s="94" t="n"/>
      <c r="H906" s="91" t="n"/>
      <c r="I906" s="91" t="n"/>
      <c r="J906" s="91" t="n"/>
      <c r="K906" s="91" t="n"/>
      <c r="L906" s="91" t="n"/>
      <c r="M906" s="95" t="n"/>
      <c r="N906" s="91" t="n"/>
      <c r="O906" s="91" t="n"/>
      <c r="P906" s="91" t="n"/>
    </row>
    <row r="907" ht="32" customHeight="1">
      <c r="A907" s="92" t="n"/>
      <c r="B907" s="92" t="n"/>
      <c r="C907" s="92" t="n"/>
      <c r="D907" s="92" t="n"/>
      <c r="E907" s="92" t="n"/>
      <c r="F907" s="96" t="n"/>
      <c r="G907" s="96" t="n"/>
      <c r="H907" s="92" t="n"/>
      <c r="I907" s="92" t="n"/>
      <c r="J907" s="92" t="n"/>
      <c r="K907" s="92" t="n"/>
      <c r="L907" s="92" t="n"/>
      <c r="M907" s="97" t="n"/>
      <c r="N907" s="92" t="n"/>
      <c r="O907" s="92" t="n"/>
      <c r="P907" s="92" t="n"/>
    </row>
    <row r="908" ht="32" customHeight="1">
      <c r="A908" s="91" t="n"/>
      <c r="B908" s="91" t="n"/>
      <c r="C908" s="91" t="n"/>
      <c r="D908" s="91" t="n"/>
      <c r="E908" s="91" t="n"/>
      <c r="F908" s="94" t="n"/>
      <c r="G908" s="94" t="n"/>
      <c r="H908" s="91" t="n"/>
      <c r="I908" s="91" t="n"/>
      <c r="J908" s="91" t="n"/>
      <c r="K908" s="91" t="n"/>
      <c r="L908" s="91" t="n"/>
      <c r="M908" s="95" t="n"/>
      <c r="N908" s="91" t="n"/>
      <c r="O908" s="91" t="n"/>
      <c r="P908" s="91" t="n"/>
    </row>
    <row r="909" ht="32" customHeight="1">
      <c r="A909" s="92" t="n"/>
      <c r="B909" s="92" t="n"/>
      <c r="C909" s="92" t="n"/>
      <c r="D909" s="92" t="n"/>
      <c r="E909" s="92" t="n"/>
      <c r="F909" s="96" t="n"/>
      <c r="G909" s="96" t="n"/>
      <c r="H909" s="92" t="n"/>
      <c r="I909" s="92" t="n"/>
      <c r="J909" s="92" t="n"/>
      <c r="K909" s="92" t="n"/>
      <c r="L909" s="92" t="n"/>
      <c r="M909" s="97" t="n"/>
      <c r="N909" s="92" t="n"/>
      <c r="O909" s="92" t="n"/>
      <c r="P909" s="92" t="n"/>
    </row>
    <row r="910" ht="32" customHeight="1">
      <c r="A910" s="91" t="n"/>
      <c r="B910" s="91" t="n"/>
      <c r="C910" s="91" t="n"/>
      <c r="D910" s="91" t="n"/>
      <c r="E910" s="91" t="n"/>
      <c r="F910" s="94" t="n"/>
      <c r="G910" s="94" t="n"/>
      <c r="H910" s="91" t="n"/>
      <c r="I910" s="91" t="n"/>
      <c r="J910" s="91" t="n"/>
      <c r="K910" s="91" t="n"/>
      <c r="L910" s="91" t="n"/>
      <c r="M910" s="95" t="n"/>
      <c r="N910" s="91" t="n"/>
      <c r="O910" s="91" t="n"/>
      <c r="P910" s="91" t="n"/>
    </row>
    <row r="911" ht="32" customHeight="1">
      <c r="A911" s="92" t="n"/>
      <c r="B911" s="92" t="n"/>
      <c r="C911" s="92" t="n"/>
      <c r="D911" s="92" t="n"/>
      <c r="E911" s="92" t="n"/>
      <c r="F911" s="96" t="n"/>
      <c r="G911" s="96" t="n"/>
      <c r="H911" s="92" t="n"/>
      <c r="I911" s="92" t="n"/>
      <c r="J911" s="92" t="n"/>
      <c r="K911" s="92" t="n"/>
      <c r="L911" s="92" t="n"/>
      <c r="M911" s="97" t="n"/>
      <c r="N911" s="92" t="n"/>
      <c r="O911" s="92" t="n"/>
      <c r="P911" s="92" t="n"/>
    </row>
    <row r="912" ht="32" customHeight="1">
      <c r="A912" s="91" t="n"/>
      <c r="B912" s="91" t="n"/>
      <c r="C912" s="91" t="n"/>
      <c r="D912" s="91" t="n"/>
      <c r="E912" s="91" t="n"/>
      <c r="F912" s="94" t="n"/>
      <c r="G912" s="94" t="n"/>
      <c r="H912" s="91" t="n"/>
      <c r="I912" s="91" t="n"/>
      <c r="J912" s="91" t="n"/>
      <c r="K912" s="91" t="n"/>
      <c r="L912" s="91" t="n"/>
      <c r="M912" s="95" t="n"/>
      <c r="N912" s="91" t="n"/>
      <c r="O912" s="91" t="n"/>
      <c r="P912" s="91" t="n"/>
    </row>
    <row r="913" ht="32" customHeight="1">
      <c r="A913" s="92" t="n"/>
      <c r="B913" s="92" t="n"/>
      <c r="C913" s="92" t="n"/>
      <c r="D913" s="92" t="n"/>
      <c r="E913" s="92" t="n"/>
      <c r="F913" s="96" t="n"/>
      <c r="G913" s="96" t="n"/>
      <c r="H913" s="92" t="n"/>
      <c r="I913" s="92" t="n"/>
      <c r="J913" s="92" t="n"/>
      <c r="K913" s="92" t="n"/>
      <c r="L913" s="92" t="n"/>
      <c r="M913" s="97" t="n"/>
      <c r="N913" s="92" t="n"/>
      <c r="O913" s="92" t="n"/>
      <c r="P913" s="92" t="n"/>
    </row>
    <row r="914" ht="32" customHeight="1">
      <c r="A914" s="91" t="n"/>
      <c r="B914" s="91" t="n"/>
      <c r="C914" s="91" t="n"/>
      <c r="D914" s="91" t="n"/>
      <c r="E914" s="91" t="n"/>
      <c r="F914" s="94" t="n"/>
      <c r="G914" s="94" t="n"/>
      <c r="H914" s="91" t="n"/>
      <c r="I914" s="91" t="n"/>
      <c r="J914" s="91" t="n"/>
      <c r="K914" s="91" t="n"/>
      <c r="L914" s="91" t="n"/>
      <c r="M914" s="95" t="n"/>
      <c r="N914" s="91" t="n"/>
      <c r="O914" s="91" t="n"/>
      <c r="P914" s="91" t="n"/>
    </row>
    <row r="915" ht="32" customHeight="1">
      <c r="A915" s="92" t="n"/>
      <c r="B915" s="92" t="n"/>
      <c r="C915" s="92" t="n"/>
      <c r="D915" s="92" t="n"/>
      <c r="E915" s="92" t="n"/>
      <c r="F915" s="96" t="n"/>
      <c r="G915" s="96" t="n"/>
      <c r="H915" s="92" t="n"/>
      <c r="I915" s="92" t="n"/>
      <c r="J915" s="92" t="n"/>
      <c r="K915" s="92" t="n"/>
      <c r="L915" s="92" t="n"/>
      <c r="M915" s="97" t="n"/>
      <c r="N915" s="92" t="n"/>
      <c r="O915" s="92" t="n"/>
      <c r="P915" s="92" t="n"/>
    </row>
    <row r="916" ht="32" customHeight="1">
      <c r="A916" s="91" t="n"/>
      <c r="B916" s="91" t="n"/>
      <c r="C916" s="91" t="n"/>
      <c r="D916" s="91" t="n"/>
      <c r="E916" s="91" t="n"/>
      <c r="F916" s="94" t="n"/>
      <c r="G916" s="94" t="n"/>
      <c r="H916" s="91" t="n"/>
      <c r="I916" s="91" t="n"/>
      <c r="J916" s="91" t="n"/>
      <c r="K916" s="91" t="n"/>
      <c r="L916" s="91" t="n"/>
      <c r="M916" s="95" t="n"/>
      <c r="N916" s="91" t="n"/>
      <c r="O916" s="91" t="n"/>
      <c r="P916" s="91" t="n"/>
    </row>
    <row r="917" ht="32" customHeight="1">
      <c r="A917" s="92" t="n"/>
      <c r="B917" s="92" t="n"/>
      <c r="C917" s="92" t="n"/>
      <c r="D917" s="92" t="n"/>
      <c r="E917" s="92" t="n"/>
      <c r="F917" s="96" t="n"/>
      <c r="G917" s="96" t="n"/>
      <c r="H917" s="92" t="n"/>
      <c r="I917" s="92" t="n"/>
      <c r="J917" s="92" t="n"/>
      <c r="K917" s="92" t="n"/>
      <c r="L917" s="92" t="n"/>
      <c r="M917" s="97" t="n"/>
      <c r="N917" s="92" t="n"/>
      <c r="O917" s="92" t="n"/>
      <c r="P917" s="92" t="n"/>
    </row>
    <row r="918" ht="32" customHeight="1">
      <c r="A918" s="91" t="n"/>
      <c r="B918" s="91" t="n"/>
      <c r="C918" s="91" t="n"/>
      <c r="D918" s="91" t="n"/>
      <c r="E918" s="91" t="n"/>
      <c r="F918" s="94" t="n"/>
      <c r="G918" s="94" t="n"/>
      <c r="H918" s="91" t="n"/>
      <c r="I918" s="91" t="n"/>
      <c r="J918" s="91" t="n"/>
      <c r="K918" s="91" t="n"/>
      <c r="L918" s="91" t="n"/>
      <c r="M918" s="95" t="n"/>
      <c r="N918" s="91" t="n"/>
      <c r="O918" s="91" t="n"/>
      <c r="P918" s="91" t="n"/>
    </row>
    <row r="919" ht="32" customHeight="1">
      <c r="A919" s="92" t="n"/>
      <c r="B919" s="92" t="n"/>
      <c r="C919" s="92" t="n"/>
      <c r="D919" s="92" t="n"/>
      <c r="E919" s="92" t="n"/>
      <c r="F919" s="96" t="n"/>
      <c r="G919" s="96" t="n"/>
      <c r="H919" s="92" t="n"/>
      <c r="I919" s="92" t="n"/>
      <c r="J919" s="92" t="n"/>
      <c r="K919" s="92" t="n"/>
      <c r="L919" s="92" t="n"/>
      <c r="M919" s="97" t="n"/>
      <c r="N919" s="92" t="n"/>
      <c r="O919" s="92" t="n"/>
      <c r="P919" s="92" t="n"/>
    </row>
    <row r="920" ht="32" customHeight="1">
      <c r="A920" s="91" t="n"/>
      <c r="B920" s="91" t="n"/>
      <c r="C920" s="91" t="n"/>
      <c r="D920" s="91" t="n"/>
      <c r="E920" s="91" t="n"/>
      <c r="F920" s="94" t="n"/>
      <c r="G920" s="94" t="n"/>
      <c r="H920" s="91" t="n"/>
      <c r="I920" s="91" t="n"/>
      <c r="J920" s="91" t="n"/>
      <c r="K920" s="91" t="n"/>
      <c r="L920" s="91" t="n"/>
      <c r="M920" s="95" t="n"/>
      <c r="N920" s="91" t="n"/>
      <c r="O920" s="91" t="n"/>
      <c r="P920" s="91" t="n"/>
    </row>
    <row r="921" ht="32" customHeight="1">
      <c r="A921" s="92" t="n"/>
      <c r="B921" s="92" t="n"/>
      <c r="C921" s="92" t="n"/>
      <c r="D921" s="92" t="n"/>
      <c r="E921" s="92" t="n"/>
      <c r="F921" s="96" t="n"/>
      <c r="G921" s="96" t="n"/>
      <c r="H921" s="92" t="n"/>
      <c r="I921" s="92" t="n"/>
      <c r="J921" s="92" t="n"/>
      <c r="K921" s="92" t="n"/>
      <c r="L921" s="92" t="n"/>
      <c r="M921" s="97" t="n"/>
      <c r="N921" s="92" t="n"/>
      <c r="O921" s="92" t="n"/>
      <c r="P921" s="92" t="n"/>
    </row>
    <row r="922" ht="32" customHeight="1">
      <c r="A922" s="91" t="n"/>
      <c r="B922" s="91" t="n"/>
      <c r="C922" s="91" t="n"/>
      <c r="D922" s="91" t="n"/>
      <c r="E922" s="91" t="n"/>
      <c r="F922" s="94" t="n"/>
      <c r="G922" s="94" t="n"/>
      <c r="H922" s="91" t="n"/>
      <c r="I922" s="91" t="n"/>
      <c r="J922" s="91" t="n"/>
      <c r="K922" s="91" t="n"/>
      <c r="L922" s="91" t="n"/>
      <c r="M922" s="95" t="n"/>
      <c r="N922" s="91" t="n"/>
      <c r="O922" s="91" t="n"/>
      <c r="P922" s="91" t="n"/>
    </row>
    <row r="923" ht="32" customHeight="1">
      <c r="A923" s="92" t="n"/>
      <c r="B923" s="92" t="n"/>
      <c r="C923" s="92" t="n"/>
      <c r="D923" s="92" t="n"/>
      <c r="E923" s="92" t="n"/>
      <c r="F923" s="96" t="n"/>
      <c r="G923" s="96" t="n"/>
      <c r="H923" s="92" t="n"/>
      <c r="I923" s="92" t="n"/>
      <c r="J923" s="92" t="n"/>
      <c r="K923" s="92" t="n"/>
      <c r="L923" s="92" t="n"/>
      <c r="M923" s="97" t="n"/>
      <c r="N923" s="92" t="n"/>
      <c r="O923" s="92" t="n"/>
      <c r="P923" s="92" t="n"/>
    </row>
    <row r="924" ht="32" customHeight="1">
      <c r="A924" s="91" t="n"/>
      <c r="B924" s="91" t="n"/>
      <c r="C924" s="91" t="n"/>
      <c r="D924" s="91" t="n"/>
      <c r="E924" s="91" t="n"/>
      <c r="F924" s="94" t="n"/>
      <c r="G924" s="94" t="n"/>
      <c r="H924" s="91" t="n"/>
      <c r="I924" s="91" t="n"/>
      <c r="J924" s="91" t="n"/>
      <c r="K924" s="91" t="n"/>
      <c r="L924" s="91" t="n"/>
      <c r="M924" s="95" t="n"/>
      <c r="N924" s="91" t="n"/>
      <c r="O924" s="91" t="n"/>
      <c r="P924" s="91" t="n"/>
    </row>
    <row r="925" ht="32" customHeight="1">
      <c r="A925" s="92" t="n"/>
      <c r="B925" s="92" t="n"/>
      <c r="C925" s="92" t="n"/>
      <c r="D925" s="92" t="n"/>
      <c r="E925" s="92" t="n"/>
      <c r="F925" s="96" t="n"/>
      <c r="G925" s="96" t="n"/>
      <c r="H925" s="92" t="n"/>
      <c r="I925" s="92" t="n"/>
      <c r="J925" s="92" t="n"/>
      <c r="K925" s="92" t="n"/>
      <c r="L925" s="92" t="n"/>
      <c r="M925" s="97" t="n"/>
      <c r="N925" s="92" t="n"/>
      <c r="O925" s="92" t="n"/>
      <c r="P925" s="92" t="n"/>
    </row>
    <row r="926" ht="32" customHeight="1">
      <c r="A926" s="91" t="n"/>
      <c r="B926" s="91" t="n"/>
      <c r="C926" s="91" t="n"/>
      <c r="D926" s="91" t="n"/>
      <c r="E926" s="91" t="n"/>
      <c r="F926" s="94" t="n"/>
      <c r="G926" s="94" t="n"/>
      <c r="H926" s="91" t="n"/>
      <c r="I926" s="91" t="n"/>
      <c r="J926" s="91" t="n"/>
      <c r="K926" s="91" t="n"/>
      <c r="L926" s="91" t="n"/>
      <c r="M926" s="95" t="n"/>
      <c r="N926" s="91" t="n"/>
      <c r="O926" s="91" t="n"/>
      <c r="P926" s="91" t="n"/>
    </row>
    <row r="927" ht="32" customHeight="1">
      <c r="A927" s="92" t="n"/>
      <c r="B927" s="92" t="n"/>
      <c r="C927" s="92" t="n"/>
      <c r="D927" s="92" t="n"/>
      <c r="E927" s="92" t="n"/>
      <c r="F927" s="96" t="n"/>
      <c r="G927" s="96" t="n"/>
      <c r="H927" s="92" t="n"/>
      <c r="I927" s="92" t="n"/>
      <c r="J927" s="92" t="n"/>
      <c r="K927" s="92" t="n"/>
      <c r="L927" s="92" t="n"/>
      <c r="M927" s="97" t="n"/>
      <c r="N927" s="92" t="n"/>
      <c r="O927" s="92" t="n"/>
      <c r="P927" s="92" t="n"/>
    </row>
    <row r="928" ht="32" customHeight="1">
      <c r="A928" s="91" t="n"/>
      <c r="B928" s="91" t="n"/>
      <c r="C928" s="91" t="n"/>
      <c r="D928" s="91" t="n"/>
      <c r="E928" s="91" t="n"/>
      <c r="F928" s="94" t="n"/>
      <c r="G928" s="94" t="n"/>
      <c r="H928" s="91" t="n"/>
      <c r="I928" s="91" t="n"/>
      <c r="J928" s="91" t="n"/>
      <c r="K928" s="91" t="n"/>
      <c r="L928" s="91" t="n"/>
      <c r="M928" s="95" t="n"/>
      <c r="N928" s="91" t="n"/>
      <c r="O928" s="91" t="n"/>
      <c r="P928" s="91" t="n"/>
    </row>
    <row r="929" ht="32" customHeight="1">
      <c r="A929" s="92" t="n"/>
      <c r="B929" s="92" t="n"/>
      <c r="C929" s="92" t="n"/>
      <c r="D929" s="92" t="n"/>
      <c r="E929" s="92" t="n"/>
      <c r="F929" s="96" t="n"/>
      <c r="G929" s="96" t="n"/>
      <c r="H929" s="92" t="n"/>
      <c r="I929" s="92" t="n"/>
      <c r="J929" s="92" t="n"/>
      <c r="K929" s="92" t="n"/>
      <c r="L929" s="92" t="n"/>
      <c r="M929" s="97" t="n"/>
      <c r="N929" s="92" t="n"/>
      <c r="O929" s="92" t="n"/>
      <c r="P929" s="92" t="n"/>
    </row>
    <row r="930" ht="32" customHeight="1">
      <c r="A930" s="91" t="n"/>
      <c r="B930" s="91" t="n"/>
      <c r="C930" s="91" t="n"/>
      <c r="D930" s="91" t="n"/>
      <c r="E930" s="91" t="n"/>
      <c r="F930" s="94" t="n"/>
      <c r="G930" s="94" t="n"/>
      <c r="H930" s="91" t="n"/>
      <c r="I930" s="91" t="n"/>
      <c r="J930" s="91" t="n"/>
      <c r="K930" s="91" t="n"/>
      <c r="L930" s="91" t="n"/>
      <c r="M930" s="95" t="n"/>
      <c r="N930" s="91" t="n"/>
      <c r="O930" s="91" t="n"/>
      <c r="P930" s="91" t="n"/>
    </row>
    <row r="931" ht="32" customHeight="1">
      <c r="A931" s="92" t="n"/>
      <c r="B931" s="92" t="n"/>
      <c r="C931" s="92" t="n"/>
      <c r="D931" s="92" t="n"/>
      <c r="E931" s="92" t="n"/>
      <c r="F931" s="96" t="n"/>
      <c r="G931" s="96" t="n"/>
      <c r="H931" s="92" t="n"/>
      <c r="I931" s="92" t="n"/>
      <c r="J931" s="92" t="n"/>
      <c r="K931" s="92" t="n"/>
      <c r="L931" s="92" t="n"/>
      <c r="M931" s="97" t="n"/>
      <c r="N931" s="92" t="n"/>
      <c r="O931" s="92" t="n"/>
      <c r="P931" s="92" t="n"/>
    </row>
    <row r="932" ht="32" customHeight="1">
      <c r="A932" s="91" t="n"/>
      <c r="B932" s="91" t="n"/>
      <c r="C932" s="91" t="n"/>
      <c r="D932" s="91" t="n"/>
      <c r="E932" s="91" t="n"/>
      <c r="F932" s="94" t="n"/>
      <c r="G932" s="94" t="n"/>
      <c r="H932" s="91" t="n"/>
      <c r="I932" s="91" t="n"/>
      <c r="J932" s="91" t="n"/>
      <c r="K932" s="91" t="n"/>
      <c r="L932" s="91" t="n"/>
      <c r="M932" s="95" t="n"/>
      <c r="N932" s="91" t="n"/>
      <c r="O932" s="91" t="n"/>
      <c r="P932" s="91" t="n"/>
    </row>
    <row r="933" ht="32" customHeight="1">
      <c r="A933" s="92" t="n"/>
      <c r="B933" s="92" t="n"/>
      <c r="C933" s="92" t="n"/>
      <c r="D933" s="92" t="n"/>
      <c r="E933" s="92" t="n"/>
      <c r="F933" s="96" t="n"/>
      <c r="G933" s="96" t="n"/>
      <c r="H933" s="92" t="n"/>
      <c r="I933" s="92" t="n"/>
      <c r="J933" s="92" t="n"/>
      <c r="K933" s="92" t="n"/>
      <c r="L933" s="92" t="n"/>
      <c r="M933" s="97" t="n"/>
      <c r="N933" s="92" t="n"/>
      <c r="O933" s="92" t="n"/>
      <c r="P933" s="92" t="n"/>
    </row>
    <row r="934" ht="32" customHeight="1">
      <c r="A934" s="91" t="n"/>
      <c r="B934" s="91" t="n"/>
      <c r="C934" s="91" t="n"/>
      <c r="D934" s="91" t="n"/>
      <c r="E934" s="91" t="n"/>
      <c r="F934" s="94" t="n"/>
      <c r="G934" s="94" t="n"/>
      <c r="H934" s="91" t="n"/>
      <c r="I934" s="91" t="n"/>
      <c r="J934" s="91" t="n"/>
      <c r="K934" s="91" t="n"/>
      <c r="L934" s="91" t="n"/>
      <c r="M934" s="95" t="n"/>
      <c r="N934" s="91" t="n"/>
      <c r="O934" s="91" t="n"/>
      <c r="P934" s="91" t="n"/>
    </row>
    <row r="935" ht="32" customHeight="1">
      <c r="A935" s="92" t="n"/>
      <c r="B935" s="92" t="n"/>
      <c r="C935" s="92" t="n"/>
      <c r="D935" s="92" t="n"/>
      <c r="E935" s="92" t="n"/>
      <c r="F935" s="96" t="n"/>
      <c r="G935" s="96" t="n"/>
      <c r="H935" s="92" t="n"/>
      <c r="I935" s="92" t="n"/>
      <c r="J935" s="92" t="n"/>
      <c r="K935" s="92" t="n"/>
      <c r="L935" s="92" t="n"/>
      <c r="M935" s="97" t="n"/>
      <c r="N935" s="92" t="n"/>
      <c r="O935" s="92" t="n"/>
      <c r="P935" s="92" t="n"/>
    </row>
    <row r="936" ht="32" customHeight="1">
      <c r="A936" s="91" t="n"/>
      <c r="B936" s="91" t="n"/>
      <c r="C936" s="91" t="n"/>
      <c r="D936" s="91" t="n"/>
      <c r="E936" s="91" t="n"/>
      <c r="F936" s="94" t="n"/>
      <c r="G936" s="94" t="n"/>
      <c r="H936" s="91" t="n"/>
      <c r="I936" s="91" t="n"/>
      <c r="J936" s="91" t="n"/>
      <c r="K936" s="91" t="n"/>
      <c r="L936" s="91" t="n"/>
      <c r="M936" s="95" t="n"/>
      <c r="N936" s="91" t="n"/>
      <c r="O936" s="91" t="n"/>
      <c r="P936" s="91" t="n"/>
    </row>
    <row r="937" ht="32" customHeight="1">
      <c r="A937" s="92" t="n"/>
      <c r="B937" s="92" t="n"/>
      <c r="C937" s="92" t="n"/>
      <c r="D937" s="92" t="n"/>
      <c r="E937" s="92" t="n"/>
      <c r="F937" s="96" t="n"/>
      <c r="G937" s="96" t="n"/>
      <c r="H937" s="92" t="n"/>
      <c r="I937" s="92" t="n"/>
      <c r="J937" s="92" t="n"/>
      <c r="K937" s="92" t="n"/>
      <c r="L937" s="92" t="n"/>
      <c r="M937" s="97" t="n"/>
      <c r="N937" s="92" t="n"/>
      <c r="O937" s="92" t="n"/>
      <c r="P937" s="92" t="n"/>
    </row>
    <row r="938" ht="32" customHeight="1">
      <c r="A938" s="91" t="n"/>
      <c r="B938" s="91" t="n"/>
      <c r="C938" s="91" t="n"/>
      <c r="D938" s="91" t="n"/>
      <c r="E938" s="91" t="n"/>
      <c r="F938" s="94" t="n"/>
      <c r="G938" s="94" t="n"/>
      <c r="H938" s="91" t="n"/>
      <c r="I938" s="91" t="n"/>
      <c r="J938" s="91" t="n"/>
      <c r="K938" s="91" t="n"/>
      <c r="L938" s="91" t="n"/>
      <c r="M938" s="95" t="n"/>
      <c r="N938" s="91" t="n"/>
      <c r="O938" s="91" t="n"/>
      <c r="P938" s="91" t="n"/>
    </row>
    <row r="939" ht="32" customHeight="1">
      <c r="A939" s="92" t="n"/>
      <c r="B939" s="92" t="n"/>
      <c r="C939" s="92" t="n"/>
      <c r="D939" s="92" t="n"/>
      <c r="E939" s="92" t="n"/>
      <c r="F939" s="96" t="n"/>
      <c r="G939" s="96" t="n"/>
      <c r="H939" s="92" t="n"/>
      <c r="I939" s="92" t="n"/>
      <c r="J939" s="92" t="n"/>
      <c r="K939" s="92" t="n"/>
      <c r="L939" s="92" t="n"/>
      <c r="M939" s="97" t="n"/>
      <c r="N939" s="92" t="n"/>
      <c r="O939" s="92" t="n"/>
      <c r="P939" s="92" t="n"/>
    </row>
    <row r="940" ht="32" customHeight="1">
      <c r="A940" s="91" t="n"/>
      <c r="B940" s="91" t="n"/>
      <c r="C940" s="91" t="n"/>
      <c r="D940" s="91" t="n"/>
      <c r="E940" s="91" t="n"/>
      <c r="F940" s="94" t="n"/>
      <c r="G940" s="94" t="n"/>
      <c r="H940" s="91" t="n"/>
      <c r="I940" s="91" t="n"/>
      <c r="J940" s="91" t="n"/>
      <c r="K940" s="91" t="n"/>
      <c r="L940" s="91" t="n"/>
      <c r="M940" s="95" t="n"/>
      <c r="N940" s="91" t="n"/>
      <c r="O940" s="91" t="n"/>
      <c r="P940" s="91" t="n"/>
    </row>
    <row r="941" ht="32" customHeight="1">
      <c r="A941" s="92" t="n"/>
      <c r="B941" s="92" t="n"/>
      <c r="C941" s="92" t="n"/>
      <c r="D941" s="92" t="n"/>
      <c r="E941" s="92" t="n"/>
      <c r="F941" s="96" t="n"/>
      <c r="G941" s="96" t="n"/>
      <c r="H941" s="92" t="n"/>
      <c r="I941" s="92" t="n"/>
      <c r="J941" s="92" t="n"/>
      <c r="K941" s="92" t="n"/>
      <c r="L941" s="92" t="n"/>
      <c r="M941" s="97" t="n"/>
      <c r="N941" s="92" t="n"/>
      <c r="O941" s="92" t="n"/>
      <c r="P941" s="92" t="n"/>
    </row>
    <row r="942" ht="32" customHeight="1">
      <c r="A942" s="91" t="n"/>
      <c r="B942" s="91" t="n"/>
      <c r="C942" s="91" t="n"/>
      <c r="D942" s="91" t="n"/>
      <c r="E942" s="91" t="n"/>
      <c r="F942" s="94" t="n"/>
      <c r="G942" s="94" t="n"/>
      <c r="H942" s="91" t="n"/>
      <c r="I942" s="91" t="n"/>
      <c r="J942" s="91" t="n"/>
      <c r="K942" s="91" t="n"/>
      <c r="L942" s="91" t="n"/>
      <c r="M942" s="95" t="n"/>
      <c r="N942" s="91" t="n"/>
      <c r="O942" s="91" t="n"/>
      <c r="P942" s="91" t="n"/>
    </row>
    <row r="943" ht="32" customHeight="1">
      <c r="A943" s="92" t="n"/>
      <c r="B943" s="92" t="n"/>
      <c r="C943" s="92" t="n"/>
      <c r="D943" s="92" t="n"/>
      <c r="E943" s="92" t="n"/>
      <c r="F943" s="96" t="n"/>
      <c r="G943" s="96" t="n"/>
      <c r="H943" s="92" t="n"/>
      <c r="I943" s="92" t="n"/>
      <c r="J943" s="92" t="n"/>
      <c r="K943" s="92" t="n"/>
      <c r="L943" s="92" t="n"/>
      <c r="M943" s="97" t="n"/>
      <c r="N943" s="92" t="n"/>
      <c r="O943" s="92" t="n"/>
      <c r="P943" s="92" t="n"/>
    </row>
    <row r="944" ht="32" customHeight="1">
      <c r="A944" s="91" t="n"/>
      <c r="B944" s="91" t="n"/>
      <c r="C944" s="91" t="n"/>
      <c r="D944" s="91" t="n"/>
      <c r="E944" s="91" t="n"/>
      <c r="F944" s="94" t="n"/>
      <c r="G944" s="94" t="n"/>
      <c r="H944" s="91" t="n"/>
      <c r="I944" s="91" t="n"/>
      <c r="J944" s="91" t="n"/>
      <c r="K944" s="91" t="n"/>
      <c r="L944" s="91" t="n"/>
      <c r="M944" s="95" t="n"/>
      <c r="N944" s="91" t="n"/>
      <c r="O944" s="91" t="n"/>
      <c r="P944" s="91" t="n"/>
    </row>
    <row r="945" ht="32" customHeight="1">
      <c r="A945" s="92" t="n"/>
      <c r="B945" s="92" t="n"/>
      <c r="C945" s="92" t="n"/>
      <c r="D945" s="92" t="n"/>
      <c r="E945" s="92" t="n"/>
      <c r="F945" s="96" t="n"/>
      <c r="G945" s="96" t="n"/>
      <c r="H945" s="92" t="n"/>
      <c r="I945" s="92" t="n"/>
      <c r="J945" s="92" t="n"/>
      <c r="K945" s="92" t="n"/>
      <c r="L945" s="92" t="n"/>
      <c r="M945" s="97" t="n"/>
      <c r="N945" s="92" t="n"/>
      <c r="O945" s="92" t="n"/>
      <c r="P945" s="92" t="n"/>
    </row>
    <row r="946" ht="32" customHeight="1">
      <c r="A946" s="91" t="n"/>
      <c r="B946" s="91" t="n"/>
      <c r="C946" s="91" t="n"/>
      <c r="D946" s="91" t="n"/>
      <c r="E946" s="91" t="n"/>
      <c r="F946" s="94" t="n"/>
      <c r="G946" s="94" t="n"/>
      <c r="H946" s="91" t="n"/>
      <c r="I946" s="91" t="n"/>
      <c r="J946" s="91" t="n"/>
      <c r="K946" s="91" t="n"/>
      <c r="L946" s="91" t="n"/>
      <c r="M946" s="95" t="n"/>
      <c r="N946" s="91" t="n"/>
      <c r="O946" s="91" t="n"/>
      <c r="P946" s="91" t="n"/>
    </row>
    <row r="947" ht="32" customHeight="1">
      <c r="A947" s="92" t="n"/>
      <c r="B947" s="92" t="n"/>
      <c r="C947" s="92" t="n"/>
      <c r="D947" s="92" t="n"/>
      <c r="E947" s="92" t="n"/>
      <c r="F947" s="96" t="n"/>
      <c r="G947" s="96" t="n"/>
      <c r="H947" s="92" t="n"/>
      <c r="I947" s="92" t="n"/>
      <c r="J947" s="92" t="n"/>
      <c r="K947" s="92" t="n"/>
      <c r="L947" s="92" t="n"/>
      <c r="M947" s="97" t="n"/>
      <c r="N947" s="92" t="n"/>
      <c r="O947" s="92" t="n"/>
      <c r="P947" s="92" t="n"/>
    </row>
    <row r="948" ht="32" customHeight="1">
      <c r="A948" s="91" t="n"/>
      <c r="B948" s="91" t="n"/>
      <c r="C948" s="91" t="n"/>
      <c r="D948" s="91" t="n"/>
      <c r="E948" s="91" t="n"/>
      <c r="F948" s="94" t="n"/>
      <c r="G948" s="94" t="n"/>
      <c r="H948" s="91" t="n"/>
      <c r="I948" s="91" t="n"/>
      <c r="J948" s="91" t="n"/>
      <c r="K948" s="91" t="n"/>
      <c r="L948" s="91" t="n"/>
      <c r="M948" s="95" t="n"/>
      <c r="N948" s="91" t="n"/>
      <c r="O948" s="91" t="n"/>
      <c r="P948" s="91" t="n"/>
    </row>
    <row r="949" ht="32" customHeight="1">
      <c r="A949" s="92" t="n"/>
      <c r="B949" s="92" t="n"/>
      <c r="C949" s="92" t="n"/>
      <c r="D949" s="92" t="n"/>
      <c r="E949" s="92" t="n"/>
      <c r="F949" s="96" t="n"/>
      <c r="G949" s="96" t="n"/>
      <c r="H949" s="92" t="n"/>
      <c r="I949" s="92" t="n"/>
      <c r="J949" s="92" t="n"/>
      <c r="K949" s="92" t="n"/>
      <c r="L949" s="92" t="n"/>
      <c r="M949" s="97" t="n"/>
      <c r="N949" s="92" t="n"/>
      <c r="O949" s="92" t="n"/>
      <c r="P949" s="92" t="n"/>
    </row>
    <row r="950" ht="32" customHeight="1">
      <c r="A950" s="91" t="n"/>
      <c r="B950" s="91" t="n"/>
      <c r="C950" s="91" t="n"/>
      <c r="D950" s="91" t="n"/>
      <c r="E950" s="91" t="n"/>
      <c r="F950" s="94" t="n"/>
      <c r="G950" s="94" t="n"/>
      <c r="H950" s="91" t="n"/>
      <c r="I950" s="91" t="n"/>
      <c r="J950" s="91" t="n"/>
      <c r="K950" s="91" t="n"/>
      <c r="L950" s="91" t="n"/>
      <c r="M950" s="95" t="n"/>
      <c r="N950" s="91" t="n"/>
      <c r="O950" s="91" t="n"/>
      <c r="P950" s="91" t="n"/>
    </row>
    <row r="951" ht="32" customHeight="1">
      <c r="A951" s="92" t="n"/>
      <c r="B951" s="92" t="n"/>
      <c r="C951" s="92" t="n"/>
      <c r="D951" s="92" t="n"/>
      <c r="E951" s="92" t="n"/>
      <c r="F951" s="96" t="n"/>
      <c r="G951" s="96" t="n"/>
      <c r="H951" s="92" t="n"/>
      <c r="I951" s="92" t="n"/>
      <c r="J951" s="92" t="n"/>
      <c r="K951" s="92" t="n"/>
      <c r="L951" s="92" t="n"/>
      <c r="M951" s="97" t="n"/>
      <c r="N951" s="92" t="n"/>
      <c r="O951" s="92" t="n"/>
      <c r="P951" s="92" t="n"/>
    </row>
    <row r="952" ht="32" customHeight="1">
      <c r="A952" s="91" t="n"/>
      <c r="B952" s="91" t="n"/>
      <c r="C952" s="91" t="n"/>
      <c r="D952" s="91" t="n"/>
      <c r="E952" s="91" t="n"/>
      <c r="F952" s="94" t="n"/>
      <c r="G952" s="94" t="n"/>
      <c r="H952" s="91" t="n"/>
      <c r="I952" s="91" t="n"/>
      <c r="J952" s="91" t="n"/>
      <c r="K952" s="91" t="n"/>
      <c r="L952" s="91" t="n"/>
      <c r="M952" s="95" t="n"/>
      <c r="N952" s="91" t="n"/>
      <c r="O952" s="91" t="n"/>
      <c r="P952" s="91" t="n"/>
    </row>
    <row r="953" ht="32" customHeight="1">
      <c r="A953" s="92" t="n"/>
      <c r="B953" s="92" t="n"/>
      <c r="C953" s="92" t="n"/>
      <c r="D953" s="92" t="n"/>
      <c r="E953" s="92" t="n"/>
      <c r="F953" s="96" t="n"/>
      <c r="G953" s="96" t="n"/>
      <c r="H953" s="92" t="n"/>
      <c r="I953" s="92" t="n"/>
      <c r="J953" s="92" t="n"/>
      <c r="K953" s="92" t="n"/>
      <c r="L953" s="92" t="n"/>
      <c r="M953" s="97" t="n"/>
      <c r="N953" s="92" t="n"/>
      <c r="O953" s="92" t="n"/>
      <c r="P953" s="92" t="n"/>
    </row>
    <row r="954" ht="32" customHeight="1">
      <c r="A954" s="91" t="n"/>
      <c r="B954" s="91" t="n"/>
      <c r="C954" s="91" t="n"/>
      <c r="D954" s="91" t="n"/>
      <c r="E954" s="91" t="n"/>
      <c r="F954" s="94" t="n"/>
      <c r="G954" s="94" t="n"/>
      <c r="H954" s="91" t="n"/>
      <c r="I954" s="91" t="n"/>
      <c r="J954" s="91" t="n"/>
      <c r="K954" s="91" t="n"/>
      <c r="L954" s="91" t="n"/>
      <c r="M954" s="95" t="n"/>
      <c r="N954" s="91" t="n"/>
      <c r="O954" s="91" t="n"/>
      <c r="P954" s="91" t="n"/>
    </row>
    <row r="955" ht="32" customHeight="1">
      <c r="A955" s="92" t="n"/>
      <c r="B955" s="92" t="n"/>
      <c r="C955" s="92" t="n"/>
      <c r="D955" s="92" t="n"/>
      <c r="E955" s="92" t="n"/>
      <c r="F955" s="96" t="n"/>
      <c r="G955" s="96" t="n"/>
      <c r="H955" s="92" t="n"/>
      <c r="I955" s="92" t="n"/>
      <c r="J955" s="92" t="n"/>
      <c r="K955" s="92" t="n"/>
      <c r="L955" s="92" t="n"/>
      <c r="M955" s="97" t="n"/>
      <c r="N955" s="92" t="n"/>
      <c r="O955" s="92" t="n"/>
      <c r="P955" s="92" t="n"/>
    </row>
    <row r="956" ht="32" customHeight="1">
      <c r="A956" s="91" t="n"/>
      <c r="B956" s="91" t="n"/>
      <c r="C956" s="91" t="n"/>
      <c r="D956" s="91" t="n"/>
      <c r="E956" s="91" t="n"/>
      <c r="F956" s="94" t="n"/>
      <c r="G956" s="94" t="n"/>
      <c r="H956" s="91" t="n"/>
      <c r="I956" s="91" t="n"/>
      <c r="J956" s="91" t="n"/>
      <c r="K956" s="91" t="n"/>
      <c r="L956" s="91" t="n"/>
      <c r="M956" s="95" t="n"/>
      <c r="N956" s="91" t="n"/>
      <c r="O956" s="91" t="n"/>
      <c r="P956" s="91" t="n"/>
    </row>
    <row r="957" ht="32" customHeight="1">
      <c r="A957" s="92" t="n"/>
      <c r="B957" s="92" t="n"/>
      <c r="C957" s="92" t="n"/>
      <c r="D957" s="92" t="n"/>
      <c r="E957" s="92" t="n"/>
      <c r="F957" s="96" t="n"/>
      <c r="G957" s="96" t="n"/>
      <c r="H957" s="92" t="n"/>
      <c r="I957" s="92" t="n"/>
      <c r="J957" s="92" t="n"/>
      <c r="K957" s="92" t="n"/>
      <c r="L957" s="92" t="n"/>
      <c r="M957" s="97" t="n"/>
      <c r="N957" s="92" t="n"/>
      <c r="O957" s="92" t="n"/>
      <c r="P957" s="92" t="n"/>
    </row>
    <row r="958" ht="32" customHeight="1">
      <c r="A958" s="91" t="n"/>
      <c r="B958" s="91" t="n"/>
      <c r="C958" s="91" t="n"/>
      <c r="D958" s="91" t="n"/>
      <c r="E958" s="91" t="n"/>
      <c r="F958" s="94" t="n"/>
      <c r="G958" s="94" t="n"/>
      <c r="H958" s="91" t="n"/>
      <c r="I958" s="91" t="n"/>
      <c r="J958" s="91" t="n"/>
      <c r="K958" s="91" t="n"/>
      <c r="L958" s="91" t="n"/>
      <c r="M958" s="95" t="n"/>
      <c r="N958" s="91" t="n"/>
      <c r="O958" s="91" t="n"/>
      <c r="P958" s="91" t="n"/>
    </row>
    <row r="959" ht="32" customHeight="1">
      <c r="A959" s="92" t="n"/>
      <c r="B959" s="92" t="n"/>
      <c r="C959" s="92" t="n"/>
      <c r="D959" s="92" t="n"/>
      <c r="E959" s="92" t="n"/>
      <c r="F959" s="96" t="n"/>
      <c r="G959" s="96" t="n"/>
      <c r="H959" s="92" t="n"/>
      <c r="I959" s="92" t="n"/>
      <c r="J959" s="92" t="n"/>
      <c r="K959" s="92" t="n"/>
      <c r="L959" s="92" t="n"/>
      <c r="M959" s="97" t="n"/>
      <c r="N959" s="92" t="n"/>
      <c r="O959" s="92" t="n"/>
      <c r="P959" s="92" t="n"/>
    </row>
    <row r="960" ht="32" customHeight="1">
      <c r="A960" s="91" t="n"/>
      <c r="B960" s="91" t="n"/>
      <c r="C960" s="91" t="n"/>
      <c r="D960" s="91" t="n"/>
      <c r="E960" s="91" t="n"/>
      <c r="F960" s="94" t="n"/>
      <c r="G960" s="94" t="n"/>
      <c r="H960" s="91" t="n"/>
      <c r="I960" s="91" t="n"/>
      <c r="J960" s="91" t="n"/>
      <c r="K960" s="91" t="n"/>
      <c r="L960" s="91" t="n"/>
      <c r="M960" s="95" t="n"/>
      <c r="N960" s="91" t="n"/>
      <c r="O960" s="91" t="n"/>
      <c r="P960" s="91" t="n"/>
    </row>
    <row r="961" ht="32" customHeight="1">
      <c r="A961" s="92" t="n"/>
      <c r="B961" s="92" t="n"/>
      <c r="C961" s="92" t="n"/>
      <c r="D961" s="92" t="n"/>
      <c r="E961" s="92" t="n"/>
      <c r="F961" s="96" t="n"/>
      <c r="G961" s="96" t="n"/>
      <c r="H961" s="92" t="n"/>
      <c r="I961" s="92" t="n"/>
      <c r="J961" s="92" t="n"/>
      <c r="K961" s="92" t="n"/>
      <c r="L961" s="92" t="n"/>
      <c r="M961" s="97" t="n"/>
      <c r="N961" s="92" t="n"/>
      <c r="O961" s="92" t="n"/>
      <c r="P961" s="92" t="n"/>
    </row>
    <row r="962" ht="32" customHeight="1">
      <c r="A962" s="91" t="n"/>
      <c r="B962" s="91" t="n"/>
      <c r="C962" s="91" t="n"/>
      <c r="D962" s="91" t="n"/>
      <c r="E962" s="91" t="n"/>
      <c r="F962" s="94" t="n"/>
      <c r="G962" s="94" t="n"/>
      <c r="H962" s="91" t="n"/>
      <c r="I962" s="91" t="n"/>
      <c r="J962" s="91" t="n"/>
      <c r="K962" s="91" t="n"/>
      <c r="L962" s="91" t="n"/>
      <c r="M962" s="95" t="n"/>
      <c r="N962" s="91" t="n"/>
      <c r="O962" s="91" t="n"/>
      <c r="P962" s="91" t="n"/>
    </row>
    <row r="963" ht="32" customHeight="1">
      <c r="A963" s="92" t="n"/>
      <c r="B963" s="92" t="n"/>
      <c r="C963" s="92" t="n"/>
      <c r="D963" s="92" t="n"/>
      <c r="E963" s="92" t="n"/>
      <c r="F963" s="96" t="n"/>
      <c r="G963" s="96" t="n"/>
      <c r="H963" s="92" t="n"/>
      <c r="I963" s="92" t="n"/>
      <c r="J963" s="92" t="n"/>
      <c r="K963" s="92" t="n"/>
      <c r="L963" s="92" t="n"/>
      <c r="M963" s="97" t="n"/>
      <c r="N963" s="92" t="n"/>
      <c r="O963" s="92" t="n"/>
      <c r="P963" s="92" t="n"/>
    </row>
    <row r="964" ht="32" customHeight="1">
      <c r="A964" s="91" t="n"/>
      <c r="B964" s="91" t="n"/>
      <c r="C964" s="91" t="n"/>
      <c r="D964" s="91" t="n"/>
      <c r="E964" s="91" t="n"/>
      <c r="F964" s="94" t="n"/>
      <c r="G964" s="94" t="n"/>
      <c r="H964" s="91" t="n"/>
      <c r="I964" s="91" t="n"/>
      <c r="J964" s="91" t="n"/>
      <c r="K964" s="91" t="n"/>
      <c r="L964" s="91" t="n"/>
      <c r="M964" s="95" t="n"/>
      <c r="N964" s="91" t="n"/>
      <c r="O964" s="91" t="n"/>
      <c r="P964" s="91" t="n"/>
    </row>
    <row r="965" ht="32" customHeight="1">
      <c r="A965" s="92" t="n"/>
      <c r="B965" s="92" t="n"/>
      <c r="C965" s="92" t="n"/>
      <c r="D965" s="92" t="n"/>
      <c r="E965" s="92" t="n"/>
      <c r="F965" s="96" t="n"/>
      <c r="G965" s="96" t="n"/>
      <c r="H965" s="92" t="n"/>
      <c r="I965" s="92" t="n"/>
      <c r="J965" s="92" t="n"/>
      <c r="K965" s="92" t="n"/>
      <c r="L965" s="92" t="n"/>
      <c r="M965" s="97" t="n"/>
      <c r="N965" s="92" t="n"/>
      <c r="O965" s="92" t="n"/>
      <c r="P965" s="92" t="n"/>
    </row>
    <row r="966" ht="32" customHeight="1">
      <c r="A966" s="91" t="n"/>
      <c r="B966" s="91" t="n"/>
      <c r="C966" s="91" t="n"/>
      <c r="D966" s="91" t="n"/>
      <c r="E966" s="91" t="n"/>
      <c r="F966" s="94" t="n"/>
      <c r="G966" s="94" t="n"/>
      <c r="H966" s="91" t="n"/>
      <c r="I966" s="91" t="n"/>
      <c r="J966" s="91" t="n"/>
      <c r="K966" s="91" t="n"/>
      <c r="L966" s="91" t="n"/>
      <c r="M966" s="95" t="n"/>
      <c r="N966" s="91" t="n"/>
      <c r="O966" s="91" t="n"/>
      <c r="P966" s="91" t="n"/>
    </row>
    <row r="967" ht="32" customHeight="1">
      <c r="A967" s="92" t="n"/>
      <c r="B967" s="92" t="n"/>
      <c r="C967" s="92" t="n"/>
      <c r="D967" s="92" t="n"/>
      <c r="E967" s="92" t="n"/>
      <c r="F967" s="96" t="n"/>
      <c r="G967" s="96" t="n"/>
      <c r="H967" s="92" t="n"/>
      <c r="I967" s="92" t="n"/>
      <c r="J967" s="92" t="n"/>
      <c r="K967" s="92" t="n"/>
      <c r="L967" s="92" t="n"/>
      <c r="M967" s="97" t="n"/>
      <c r="N967" s="92" t="n"/>
      <c r="O967" s="92" t="n"/>
      <c r="P967" s="92" t="n"/>
    </row>
    <row r="968" ht="32" customHeight="1">
      <c r="A968" s="91" t="n"/>
      <c r="B968" s="91" t="n"/>
      <c r="C968" s="91" t="n"/>
      <c r="D968" s="91" t="n"/>
      <c r="E968" s="91" t="n"/>
      <c r="F968" s="94" t="n"/>
      <c r="G968" s="94" t="n"/>
      <c r="H968" s="91" t="n"/>
      <c r="I968" s="91" t="n"/>
      <c r="J968" s="91" t="n"/>
      <c r="K968" s="91" t="n"/>
      <c r="L968" s="91" t="n"/>
      <c r="M968" s="95" t="n"/>
      <c r="N968" s="91" t="n"/>
      <c r="O968" s="91" t="n"/>
      <c r="P968" s="91" t="n"/>
    </row>
    <row r="969" ht="32" customHeight="1">
      <c r="A969" s="92" t="n"/>
      <c r="B969" s="92" t="n"/>
      <c r="C969" s="92" t="n"/>
      <c r="D969" s="92" t="n"/>
      <c r="E969" s="92" t="n"/>
      <c r="F969" s="96" t="n"/>
      <c r="G969" s="96" t="n"/>
      <c r="H969" s="92" t="n"/>
      <c r="I969" s="92" t="n"/>
      <c r="J969" s="92" t="n"/>
      <c r="K969" s="92" t="n"/>
      <c r="L969" s="92" t="n"/>
      <c r="M969" s="97" t="n"/>
      <c r="N969" s="92" t="n"/>
      <c r="O969" s="92" t="n"/>
      <c r="P969" s="92" t="n"/>
    </row>
    <row r="970" ht="32" customHeight="1">
      <c r="A970" s="91" t="n"/>
      <c r="B970" s="91" t="n"/>
      <c r="C970" s="91" t="n"/>
      <c r="D970" s="91" t="n"/>
      <c r="E970" s="91" t="n"/>
      <c r="F970" s="94" t="n"/>
      <c r="G970" s="94" t="n"/>
      <c r="H970" s="91" t="n"/>
      <c r="I970" s="91" t="n"/>
      <c r="J970" s="91" t="n"/>
      <c r="K970" s="91" t="n"/>
      <c r="L970" s="91" t="n"/>
      <c r="M970" s="95" t="n"/>
      <c r="N970" s="91" t="n"/>
      <c r="O970" s="91" t="n"/>
      <c r="P970" s="91" t="n"/>
    </row>
    <row r="971" ht="32" customHeight="1">
      <c r="A971" s="92" t="n"/>
      <c r="B971" s="92" t="n"/>
      <c r="C971" s="92" t="n"/>
      <c r="D971" s="92" t="n"/>
      <c r="E971" s="92" t="n"/>
      <c r="F971" s="96" t="n"/>
      <c r="G971" s="96" t="n"/>
      <c r="H971" s="92" t="n"/>
      <c r="I971" s="92" t="n"/>
      <c r="J971" s="92" t="n"/>
      <c r="K971" s="92" t="n"/>
      <c r="L971" s="92" t="n"/>
      <c r="M971" s="97" t="n"/>
      <c r="N971" s="92" t="n"/>
      <c r="O971" s="92" t="n"/>
      <c r="P971" s="92" t="n"/>
    </row>
    <row r="972" ht="32" customHeight="1">
      <c r="A972" s="91" t="n"/>
      <c r="B972" s="91" t="n"/>
      <c r="C972" s="91" t="n"/>
      <c r="D972" s="91" t="n"/>
      <c r="E972" s="91" t="n"/>
      <c r="F972" s="94" t="n"/>
      <c r="G972" s="94" t="n"/>
      <c r="H972" s="91" t="n"/>
      <c r="I972" s="91" t="n"/>
      <c r="J972" s="91" t="n"/>
      <c r="K972" s="91" t="n"/>
      <c r="L972" s="91" t="n"/>
      <c r="M972" s="95" t="n"/>
      <c r="N972" s="91" t="n"/>
      <c r="O972" s="91" t="n"/>
      <c r="P972" s="91" t="n"/>
    </row>
    <row r="973" ht="32" customHeight="1">
      <c r="A973" s="92" t="n"/>
      <c r="B973" s="92" t="n"/>
      <c r="C973" s="92" t="n"/>
      <c r="D973" s="92" t="n"/>
      <c r="E973" s="92" t="n"/>
      <c r="F973" s="96" t="n"/>
      <c r="G973" s="96" t="n"/>
      <c r="H973" s="92" t="n"/>
      <c r="I973" s="92" t="n"/>
      <c r="J973" s="92" t="n"/>
      <c r="K973" s="92" t="n"/>
      <c r="L973" s="92" t="n"/>
      <c r="M973" s="97" t="n"/>
      <c r="N973" s="92" t="n"/>
      <c r="O973" s="92" t="n"/>
      <c r="P973" s="92" t="n"/>
    </row>
    <row r="974" ht="32" customHeight="1">
      <c r="A974" s="91" t="n"/>
      <c r="B974" s="91" t="n"/>
      <c r="C974" s="91" t="n"/>
      <c r="D974" s="91" t="n"/>
      <c r="E974" s="91" t="n"/>
      <c r="F974" s="94" t="n"/>
      <c r="G974" s="94" t="n"/>
      <c r="H974" s="91" t="n"/>
      <c r="I974" s="91" t="n"/>
      <c r="J974" s="91" t="n"/>
      <c r="K974" s="91" t="n"/>
      <c r="L974" s="91" t="n"/>
      <c r="M974" s="95" t="n"/>
      <c r="N974" s="91" t="n"/>
      <c r="O974" s="91" t="n"/>
      <c r="P974" s="91" t="n"/>
    </row>
    <row r="975" ht="32" customHeight="1">
      <c r="A975" s="92" t="n"/>
      <c r="B975" s="92" t="n"/>
      <c r="C975" s="92" t="n"/>
      <c r="D975" s="92" t="n"/>
      <c r="E975" s="92" t="n"/>
      <c r="F975" s="96" t="n"/>
      <c r="G975" s="96" t="n"/>
      <c r="H975" s="92" t="n"/>
      <c r="I975" s="92" t="n"/>
      <c r="J975" s="92" t="n"/>
      <c r="K975" s="92" t="n"/>
      <c r="L975" s="92" t="n"/>
      <c r="M975" s="97" t="n"/>
      <c r="N975" s="92" t="n"/>
      <c r="O975" s="92" t="n"/>
      <c r="P975" s="92" t="n"/>
    </row>
    <row r="976" ht="32" customHeight="1">
      <c r="A976" s="91" t="n"/>
      <c r="B976" s="91" t="n"/>
      <c r="C976" s="91" t="n"/>
      <c r="D976" s="91" t="n"/>
      <c r="E976" s="91" t="n"/>
      <c r="F976" s="94" t="n"/>
      <c r="G976" s="94" t="n"/>
      <c r="H976" s="91" t="n"/>
      <c r="I976" s="91" t="n"/>
      <c r="J976" s="91" t="n"/>
      <c r="K976" s="91" t="n"/>
      <c r="L976" s="91" t="n"/>
      <c r="M976" s="95" t="n"/>
      <c r="N976" s="91" t="n"/>
      <c r="O976" s="91" t="n"/>
      <c r="P976" s="91" t="n"/>
    </row>
    <row r="977" ht="32" customHeight="1">
      <c r="A977" s="92" t="n"/>
      <c r="B977" s="92" t="n"/>
      <c r="C977" s="92" t="n"/>
      <c r="D977" s="92" t="n"/>
      <c r="E977" s="92" t="n"/>
      <c r="F977" s="96" t="n"/>
      <c r="G977" s="96" t="n"/>
      <c r="H977" s="92" t="n"/>
      <c r="I977" s="92" t="n"/>
      <c r="J977" s="92" t="n"/>
      <c r="K977" s="92" t="n"/>
      <c r="L977" s="92" t="n"/>
      <c r="M977" s="97" t="n"/>
      <c r="N977" s="92" t="n"/>
      <c r="O977" s="92" t="n"/>
      <c r="P977" s="92" t="n"/>
    </row>
    <row r="978" ht="32" customHeight="1">
      <c r="A978" s="91" t="n"/>
      <c r="B978" s="91" t="n"/>
      <c r="C978" s="91" t="n"/>
      <c r="D978" s="91" t="n"/>
      <c r="E978" s="91" t="n"/>
      <c r="F978" s="94" t="n"/>
      <c r="G978" s="94" t="n"/>
      <c r="H978" s="91" t="n"/>
      <c r="I978" s="91" t="n"/>
      <c r="J978" s="91" t="n"/>
      <c r="K978" s="91" t="n"/>
      <c r="L978" s="91" t="n"/>
      <c r="M978" s="95" t="n"/>
      <c r="N978" s="91" t="n"/>
      <c r="O978" s="91" t="n"/>
      <c r="P978" s="91" t="n"/>
    </row>
    <row r="979" ht="32" customHeight="1">
      <c r="A979" s="92" t="n"/>
      <c r="B979" s="92" t="n"/>
      <c r="C979" s="92" t="n"/>
      <c r="D979" s="92" t="n"/>
      <c r="E979" s="92" t="n"/>
      <c r="F979" s="96" t="n"/>
      <c r="G979" s="96" t="n"/>
      <c r="H979" s="92" t="n"/>
      <c r="I979" s="92" t="n"/>
      <c r="J979" s="92" t="n"/>
      <c r="K979" s="92" t="n"/>
      <c r="L979" s="92" t="n"/>
      <c r="M979" s="97" t="n"/>
      <c r="N979" s="92" t="n"/>
      <c r="O979" s="92" t="n"/>
      <c r="P979" s="92" t="n"/>
    </row>
    <row r="980" ht="32" customHeight="1">
      <c r="A980" s="91" t="n"/>
      <c r="B980" s="91" t="n"/>
      <c r="C980" s="91" t="n"/>
      <c r="D980" s="91" t="n"/>
      <c r="E980" s="91" t="n"/>
      <c r="F980" s="94" t="n"/>
      <c r="G980" s="94" t="n"/>
      <c r="H980" s="91" t="n"/>
      <c r="I980" s="91" t="n"/>
      <c r="J980" s="91" t="n"/>
      <c r="K980" s="91" t="n"/>
      <c r="L980" s="91" t="n"/>
      <c r="M980" s="95" t="n"/>
      <c r="N980" s="91" t="n"/>
      <c r="O980" s="91" t="n"/>
      <c r="P980" s="91" t="n"/>
    </row>
    <row r="981" ht="32" customHeight="1">
      <c r="A981" s="92" t="n"/>
      <c r="B981" s="92" t="n"/>
      <c r="C981" s="92" t="n"/>
      <c r="D981" s="92" t="n"/>
      <c r="E981" s="92" t="n"/>
      <c r="F981" s="96" t="n"/>
      <c r="G981" s="96" t="n"/>
      <c r="H981" s="92" t="n"/>
      <c r="I981" s="92" t="n"/>
      <c r="J981" s="92" t="n"/>
      <c r="K981" s="92" t="n"/>
      <c r="L981" s="92" t="n"/>
      <c r="M981" s="97" t="n"/>
      <c r="N981" s="92" t="n"/>
      <c r="O981" s="92" t="n"/>
      <c r="P981" s="92" t="n"/>
    </row>
    <row r="982" ht="32" customHeight="1">
      <c r="A982" s="91" t="n"/>
      <c r="B982" s="91" t="n"/>
      <c r="C982" s="91" t="n"/>
      <c r="D982" s="91" t="n"/>
      <c r="E982" s="91" t="n"/>
      <c r="F982" s="94" t="n"/>
      <c r="G982" s="94" t="n"/>
      <c r="H982" s="91" t="n"/>
      <c r="I982" s="91" t="n"/>
      <c r="J982" s="91" t="n"/>
      <c r="K982" s="91" t="n"/>
      <c r="L982" s="91" t="n"/>
      <c r="M982" s="95" t="n"/>
      <c r="N982" s="91" t="n"/>
      <c r="O982" s="91" t="n"/>
      <c r="P982" s="91" t="n"/>
    </row>
    <row r="983" ht="32" customHeight="1">
      <c r="A983" s="92" t="n"/>
      <c r="B983" s="92" t="n"/>
      <c r="C983" s="92" t="n"/>
      <c r="D983" s="92" t="n"/>
      <c r="E983" s="92" t="n"/>
      <c r="F983" s="96" t="n"/>
      <c r="G983" s="96" t="n"/>
      <c r="H983" s="92" t="n"/>
      <c r="I983" s="92" t="n"/>
      <c r="J983" s="92" t="n"/>
      <c r="K983" s="92" t="n"/>
      <c r="L983" s="92" t="n"/>
      <c r="M983" s="97" t="n"/>
      <c r="N983" s="92" t="n"/>
      <c r="O983" s="92" t="n"/>
      <c r="P983" s="92" t="n"/>
    </row>
    <row r="984" ht="32" customHeight="1">
      <c r="A984" s="91" t="n"/>
      <c r="B984" s="91" t="n"/>
      <c r="C984" s="91" t="n"/>
      <c r="D984" s="91" t="n"/>
      <c r="E984" s="91" t="n"/>
      <c r="F984" s="94" t="n"/>
      <c r="G984" s="94" t="n"/>
      <c r="H984" s="91" t="n"/>
      <c r="I984" s="91" t="n"/>
      <c r="J984" s="91" t="n"/>
      <c r="K984" s="91" t="n"/>
      <c r="L984" s="91" t="n"/>
      <c r="M984" s="95" t="n"/>
      <c r="N984" s="91" t="n"/>
      <c r="O984" s="91" t="n"/>
      <c r="P984" s="91" t="n"/>
    </row>
    <row r="985" ht="32" customHeight="1">
      <c r="A985" s="92" t="n"/>
      <c r="B985" s="92" t="n"/>
      <c r="C985" s="92" t="n"/>
      <c r="D985" s="92" t="n"/>
      <c r="E985" s="92" t="n"/>
      <c r="F985" s="96" t="n"/>
      <c r="G985" s="96" t="n"/>
      <c r="H985" s="92" t="n"/>
      <c r="I985" s="92" t="n"/>
      <c r="J985" s="92" t="n"/>
      <c r="K985" s="92" t="n"/>
      <c r="L985" s="92" t="n"/>
      <c r="M985" s="97" t="n"/>
      <c r="N985" s="92" t="n"/>
      <c r="O985" s="92" t="n"/>
      <c r="P985" s="92" t="n"/>
    </row>
    <row r="986" ht="32" customHeight="1">
      <c r="A986" s="91" t="n"/>
      <c r="B986" s="91" t="n"/>
      <c r="C986" s="91" t="n"/>
      <c r="D986" s="91" t="n"/>
      <c r="E986" s="91" t="n"/>
      <c r="F986" s="94" t="n"/>
      <c r="G986" s="94" t="n"/>
      <c r="H986" s="91" t="n"/>
      <c r="I986" s="91" t="n"/>
      <c r="J986" s="91" t="n"/>
      <c r="K986" s="91" t="n"/>
      <c r="L986" s="91" t="n"/>
      <c r="M986" s="95" t="n"/>
      <c r="N986" s="91" t="n"/>
      <c r="O986" s="91" t="n"/>
      <c r="P986" s="91" t="n"/>
    </row>
    <row r="987" ht="32" customHeight="1">
      <c r="A987" s="92" t="n"/>
      <c r="B987" s="92" t="n"/>
      <c r="C987" s="92" t="n"/>
      <c r="D987" s="92" t="n"/>
      <c r="E987" s="92" t="n"/>
      <c r="F987" s="96" t="n"/>
      <c r="G987" s="96" t="n"/>
      <c r="H987" s="92" t="n"/>
      <c r="I987" s="92" t="n"/>
      <c r="J987" s="92" t="n"/>
      <c r="K987" s="92" t="n"/>
      <c r="L987" s="92" t="n"/>
      <c r="M987" s="97" t="n"/>
      <c r="N987" s="92" t="n"/>
      <c r="O987" s="92" t="n"/>
      <c r="P987" s="92" t="n"/>
    </row>
    <row r="988" ht="32" customHeight="1">
      <c r="A988" s="91" t="n"/>
      <c r="B988" s="91" t="n"/>
      <c r="C988" s="91" t="n"/>
      <c r="D988" s="91" t="n"/>
      <c r="E988" s="91" t="n"/>
      <c r="F988" s="94" t="n"/>
      <c r="G988" s="94" t="n"/>
      <c r="H988" s="91" t="n"/>
      <c r="I988" s="91" t="n"/>
      <c r="J988" s="91" t="n"/>
      <c r="K988" s="91" t="n"/>
      <c r="L988" s="91" t="n"/>
      <c r="M988" s="95" t="n"/>
      <c r="N988" s="91" t="n"/>
      <c r="O988" s="91" t="n"/>
      <c r="P988" s="91" t="n"/>
    </row>
    <row r="989" ht="32" customHeight="1">
      <c r="A989" s="92" t="n"/>
      <c r="B989" s="92" t="n"/>
      <c r="C989" s="92" t="n"/>
      <c r="D989" s="92" t="n"/>
      <c r="E989" s="92" t="n"/>
      <c r="F989" s="96" t="n"/>
      <c r="G989" s="96" t="n"/>
      <c r="H989" s="92" t="n"/>
      <c r="I989" s="92" t="n"/>
      <c r="J989" s="92" t="n"/>
      <c r="K989" s="92" t="n"/>
      <c r="L989" s="92" t="n"/>
      <c r="M989" s="97" t="n"/>
      <c r="N989" s="92" t="n"/>
      <c r="O989" s="92" t="n"/>
      <c r="P989" s="92" t="n"/>
    </row>
    <row r="990" ht="32" customHeight="1">
      <c r="A990" s="91" t="n"/>
      <c r="B990" s="91" t="n"/>
      <c r="C990" s="91" t="n"/>
      <c r="D990" s="91" t="n"/>
      <c r="E990" s="91" t="n"/>
      <c r="F990" s="94" t="n"/>
      <c r="G990" s="94" t="n"/>
      <c r="H990" s="91" t="n"/>
      <c r="I990" s="91" t="n"/>
      <c r="J990" s="91" t="n"/>
      <c r="K990" s="91" t="n"/>
      <c r="L990" s="91" t="n"/>
      <c r="M990" s="95" t="n"/>
      <c r="N990" s="91" t="n"/>
      <c r="O990" s="91" t="n"/>
      <c r="P990" s="91" t="n"/>
    </row>
    <row r="991" ht="32" customHeight="1">
      <c r="A991" s="92" t="n"/>
      <c r="B991" s="92" t="n"/>
      <c r="C991" s="92" t="n"/>
      <c r="D991" s="92" t="n"/>
      <c r="E991" s="92" t="n"/>
      <c r="F991" s="96" t="n"/>
      <c r="G991" s="96" t="n"/>
      <c r="H991" s="92" t="n"/>
      <c r="I991" s="92" t="n"/>
      <c r="J991" s="92" t="n"/>
      <c r="K991" s="92" t="n"/>
      <c r="L991" s="92" t="n"/>
      <c r="M991" s="97" t="n"/>
      <c r="N991" s="92" t="n"/>
      <c r="O991" s="92" t="n"/>
      <c r="P991" s="92" t="n"/>
    </row>
    <row r="992" ht="32" customHeight="1">
      <c r="A992" s="91" t="n"/>
      <c r="B992" s="91" t="n"/>
      <c r="C992" s="91" t="n"/>
      <c r="D992" s="91" t="n"/>
      <c r="E992" s="91" t="n"/>
      <c r="F992" s="94" t="n"/>
      <c r="G992" s="94" t="n"/>
      <c r="H992" s="91" t="n"/>
      <c r="I992" s="91" t="n"/>
      <c r="J992" s="91" t="n"/>
      <c r="K992" s="91" t="n"/>
      <c r="L992" s="91" t="n"/>
      <c r="M992" s="95" t="n"/>
      <c r="N992" s="91" t="n"/>
      <c r="O992" s="91" t="n"/>
      <c r="P992" s="91" t="n"/>
    </row>
    <row r="993" ht="32" customHeight="1">
      <c r="A993" s="92" t="n"/>
      <c r="B993" s="92" t="n"/>
      <c r="C993" s="92" t="n"/>
      <c r="D993" s="92" t="n"/>
      <c r="E993" s="92" t="n"/>
      <c r="F993" s="96" t="n"/>
      <c r="G993" s="96" t="n"/>
      <c r="H993" s="92" t="n"/>
      <c r="I993" s="92" t="n"/>
      <c r="J993" s="92" t="n"/>
      <c r="K993" s="92" t="n"/>
      <c r="L993" s="92" t="n"/>
      <c r="M993" s="97" t="n"/>
      <c r="N993" s="92" t="n"/>
      <c r="O993" s="92" t="n"/>
      <c r="P993" s="92" t="n"/>
    </row>
    <row r="994" ht="32" customHeight="1">
      <c r="A994" s="91" t="n"/>
      <c r="B994" s="91" t="n"/>
      <c r="C994" s="91" t="n"/>
      <c r="D994" s="91" t="n"/>
      <c r="E994" s="91" t="n"/>
      <c r="F994" s="94" t="n"/>
      <c r="G994" s="94" t="n"/>
      <c r="H994" s="91" t="n"/>
      <c r="I994" s="91" t="n"/>
      <c r="J994" s="91" t="n"/>
      <c r="K994" s="91" t="n"/>
      <c r="L994" s="91" t="n"/>
      <c r="M994" s="95" t="n"/>
      <c r="N994" s="91" t="n"/>
      <c r="O994" s="91" t="n"/>
      <c r="P994" s="91" t="n"/>
    </row>
    <row r="995" ht="32" customHeight="1">
      <c r="A995" s="92" t="n"/>
      <c r="B995" s="92" t="n"/>
      <c r="C995" s="92" t="n"/>
      <c r="D995" s="92" t="n"/>
      <c r="E995" s="92" t="n"/>
      <c r="F995" s="96" t="n"/>
      <c r="G995" s="96" t="n"/>
      <c r="H995" s="92" t="n"/>
      <c r="I995" s="92" t="n"/>
      <c r="J995" s="92" t="n"/>
      <c r="K995" s="92" t="n"/>
      <c r="L995" s="92" t="n"/>
      <c r="M995" s="97" t="n"/>
      <c r="N995" s="92" t="n"/>
      <c r="O995" s="92" t="n"/>
      <c r="P995" s="92" t="n"/>
    </row>
    <row r="996" ht="32" customHeight="1">
      <c r="A996" s="91" t="n"/>
      <c r="B996" s="91" t="n"/>
      <c r="C996" s="91" t="n"/>
      <c r="D996" s="91" t="n"/>
      <c r="E996" s="91" t="n"/>
      <c r="F996" s="94" t="n"/>
      <c r="G996" s="94" t="n"/>
      <c r="H996" s="91" t="n"/>
      <c r="I996" s="91" t="n"/>
      <c r="J996" s="91" t="n"/>
      <c r="K996" s="91" t="n"/>
      <c r="L996" s="91" t="n"/>
      <c r="M996" s="95" t="n"/>
      <c r="N996" s="91" t="n"/>
      <c r="O996" s="91" t="n"/>
      <c r="P996" s="91" t="n"/>
    </row>
    <row r="997" ht="32" customHeight="1">
      <c r="A997" s="92" t="n"/>
      <c r="B997" s="92" t="n"/>
      <c r="C997" s="92" t="n"/>
      <c r="D997" s="92" t="n"/>
      <c r="E997" s="92" t="n"/>
      <c r="F997" s="96" t="n"/>
      <c r="G997" s="96" t="n"/>
      <c r="H997" s="92" t="n"/>
      <c r="I997" s="92" t="n"/>
      <c r="J997" s="92" t="n"/>
      <c r="K997" s="92" t="n"/>
      <c r="L997" s="92" t="n"/>
      <c r="M997" s="97" t="n"/>
      <c r="N997" s="92" t="n"/>
      <c r="O997" s="92" t="n"/>
      <c r="P997" s="92" t="n"/>
    </row>
    <row r="998" ht="32" customHeight="1">
      <c r="A998" s="91" t="n"/>
      <c r="B998" s="91" t="n"/>
      <c r="C998" s="91" t="n"/>
      <c r="D998" s="91" t="n"/>
      <c r="E998" s="91" t="n"/>
      <c r="F998" s="94" t="n"/>
      <c r="G998" s="94" t="n"/>
      <c r="H998" s="91" t="n"/>
      <c r="I998" s="91" t="n"/>
      <c r="J998" s="91" t="n"/>
      <c r="K998" s="91" t="n"/>
      <c r="L998" s="91" t="n"/>
      <c r="M998" s="95" t="n"/>
      <c r="N998" s="91" t="n"/>
      <c r="O998" s="91" t="n"/>
      <c r="P998" s="91" t="n"/>
    </row>
    <row r="999" ht="32" customHeight="1">
      <c r="A999" s="92" t="n"/>
      <c r="B999" s="92" t="n"/>
      <c r="C999" s="92" t="n"/>
      <c r="D999" s="92" t="n"/>
      <c r="E999" s="92" t="n"/>
      <c r="F999" s="96" t="n"/>
      <c r="G999" s="96" t="n"/>
      <c r="H999" s="92" t="n"/>
      <c r="I999" s="92" t="n"/>
      <c r="J999" s="92" t="n"/>
      <c r="K999" s="92" t="n"/>
      <c r="L999" s="92" t="n"/>
      <c r="M999" s="97" t="n"/>
      <c r="N999" s="92" t="n"/>
      <c r="O999" s="92" t="n"/>
      <c r="P999" s="92" t="n"/>
    </row>
    <row r="1000" ht="32" customHeight="1">
      <c r="A1000" s="91" t="n"/>
      <c r="B1000" s="91" t="n"/>
      <c r="C1000" s="91" t="n"/>
      <c r="D1000" s="91" t="n"/>
      <c r="E1000" s="91" t="n"/>
      <c r="F1000" s="94" t="n"/>
      <c r="G1000" s="94" t="n"/>
      <c r="H1000" s="91" t="n"/>
      <c r="I1000" s="91" t="n"/>
      <c r="J1000" s="91" t="n"/>
      <c r="K1000" s="91" t="n"/>
      <c r="L1000" s="91" t="n"/>
      <c r="M1000" s="95" t="n"/>
      <c r="N1000" s="91" t="n"/>
      <c r="O1000" s="91" t="n"/>
      <c r="P1000" s="91" t="n"/>
    </row>
    <row r="1001" ht="32" customHeight="1">
      <c r="A1001" s="92" t="n"/>
      <c r="B1001" s="92" t="n"/>
      <c r="C1001" s="92" t="n"/>
      <c r="D1001" s="92" t="n"/>
      <c r="E1001" s="92" t="n"/>
      <c r="F1001" s="96" t="n"/>
      <c r="G1001" s="96" t="n"/>
      <c r="H1001" s="92" t="n"/>
      <c r="I1001" s="92" t="n"/>
      <c r="J1001" s="92" t="n"/>
      <c r="K1001" s="92" t="n"/>
      <c r="L1001" s="92" t="n"/>
      <c r="M1001" s="97" t="n"/>
      <c r="N1001" s="92" t="n"/>
      <c r="O1001" s="92" t="n"/>
      <c r="P1001" s="92" t="n"/>
    </row>
    <row r="1002" ht="32" customHeight="1">
      <c r="A1002" s="91" t="n"/>
      <c r="B1002" s="91" t="n"/>
      <c r="C1002" s="91" t="n"/>
      <c r="D1002" s="91" t="n"/>
      <c r="E1002" s="91" t="n"/>
      <c r="F1002" s="94" t="n"/>
      <c r="G1002" s="94" t="n"/>
      <c r="H1002" s="91" t="n"/>
      <c r="I1002" s="91" t="n"/>
      <c r="J1002" s="91" t="n"/>
      <c r="K1002" s="91" t="n"/>
      <c r="L1002" s="91" t="n"/>
      <c r="M1002" s="95" t="n"/>
      <c r="N1002" s="91" t="n"/>
      <c r="O1002" s="91" t="n"/>
      <c r="P1002" s="91" t="n"/>
    </row>
    <row r="1003" ht="32" customHeight="1">
      <c r="A1003" s="92" t="n"/>
      <c r="B1003" s="92" t="n"/>
      <c r="C1003" s="92" t="n"/>
      <c r="D1003" s="92" t="n"/>
      <c r="E1003" s="92" t="n"/>
      <c r="F1003" s="96" t="n"/>
      <c r="G1003" s="96" t="n"/>
      <c r="H1003" s="92" t="n"/>
      <c r="I1003" s="92" t="n"/>
      <c r="J1003" s="92" t="n"/>
      <c r="K1003" s="92" t="n"/>
      <c r="L1003" s="92" t="n"/>
      <c r="M1003" s="97" t="n"/>
      <c r="N1003" s="92" t="n"/>
      <c r="O1003" s="92" t="n"/>
      <c r="P1003" s="92" t="n"/>
    </row>
    <row r="1004" ht="32" customHeight="1">
      <c r="A1004" s="91" t="n"/>
      <c r="B1004" s="91" t="n"/>
      <c r="C1004" s="91" t="n"/>
      <c r="D1004" s="91" t="n"/>
      <c r="E1004" s="91" t="n"/>
      <c r="F1004" s="94" t="n"/>
      <c r="G1004" s="94" t="n"/>
      <c r="H1004" s="91" t="n"/>
      <c r="I1004" s="91" t="n"/>
      <c r="J1004" s="91" t="n"/>
      <c r="K1004" s="91" t="n"/>
      <c r="L1004" s="91" t="n"/>
      <c r="M1004" s="95" t="n"/>
      <c r="N1004" s="91" t="n"/>
      <c r="O1004" s="91" t="n"/>
      <c r="P1004" s="91" t="n"/>
    </row>
    <row r="1005" ht="32" customHeight="1">
      <c r="A1005" s="92" t="n"/>
      <c r="B1005" s="92" t="n"/>
      <c r="C1005" s="92" t="n"/>
      <c r="D1005" s="92" t="n"/>
      <c r="E1005" s="92" t="n"/>
      <c r="F1005" s="96" t="n"/>
      <c r="G1005" s="96" t="n"/>
      <c r="H1005" s="92" t="n"/>
      <c r="I1005" s="92" t="n"/>
      <c r="J1005" s="92" t="n"/>
      <c r="K1005" s="92" t="n"/>
      <c r="L1005" s="92" t="n"/>
      <c r="M1005" s="97" t="n"/>
      <c r="N1005" s="92" t="n"/>
      <c r="O1005" s="92" t="n"/>
      <c r="P1005" s="92" t="n"/>
    </row>
    <row r="1006" ht="32" customHeight="1">
      <c r="A1006" s="91" t="n"/>
      <c r="B1006" s="91" t="n"/>
      <c r="C1006" s="91" t="n"/>
      <c r="D1006" s="91" t="n"/>
      <c r="E1006" s="91" t="n"/>
      <c r="F1006" s="94" t="n"/>
      <c r="G1006" s="94" t="n"/>
      <c r="H1006" s="91" t="n"/>
      <c r="I1006" s="91" t="n"/>
      <c r="J1006" s="91" t="n"/>
      <c r="K1006" s="91" t="n"/>
      <c r="L1006" s="91" t="n"/>
      <c r="M1006" s="95" t="n"/>
      <c r="N1006" s="91" t="n"/>
      <c r="O1006" s="91" t="n"/>
      <c r="P1006" s="91" t="n"/>
    </row>
    <row r="1007" ht="32" customHeight="1">
      <c r="A1007" s="92" t="n"/>
      <c r="B1007" s="92" t="n"/>
      <c r="C1007" s="92" t="n"/>
      <c r="D1007" s="92" t="n"/>
      <c r="E1007" s="92" t="n"/>
      <c r="F1007" s="96" t="n"/>
      <c r="G1007" s="96" t="n"/>
      <c r="H1007" s="92" t="n"/>
      <c r="I1007" s="92" t="n"/>
      <c r="J1007" s="92" t="n"/>
      <c r="K1007" s="92" t="n"/>
      <c r="L1007" s="92" t="n"/>
      <c r="M1007" s="97" t="n"/>
      <c r="N1007" s="92" t="n"/>
      <c r="O1007" s="92" t="n"/>
      <c r="P1007" s="92" t="n"/>
    </row>
    <row r="1008" ht="32" customHeight="1">
      <c r="A1008" s="91" t="n"/>
      <c r="B1008" s="91" t="n"/>
      <c r="C1008" s="91" t="n"/>
      <c r="D1008" s="91" t="n"/>
      <c r="E1008" s="91" t="n"/>
      <c r="F1008" s="94" t="n"/>
      <c r="G1008" s="94" t="n"/>
      <c r="H1008" s="91" t="n"/>
      <c r="I1008" s="91" t="n"/>
      <c r="J1008" s="91" t="n"/>
      <c r="K1008" s="91" t="n"/>
      <c r="L1008" s="91" t="n"/>
      <c r="M1008" s="95" t="n"/>
      <c r="N1008" s="91" t="n"/>
      <c r="O1008" s="91" t="n"/>
      <c r="P1008" s="91" t="n"/>
    </row>
    <row r="1009" ht="32" customHeight="1">
      <c r="A1009" s="92" t="n"/>
      <c r="B1009" s="92" t="n"/>
      <c r="C1009" s="92" t="n"/>
      <c r="D1009" s="92" t="n"/>
      <c r="E1009" s="92" t="n"/>
      <c r="F1009" s="96" t="n"/>
      <c r="G1009" s="96" t="n"/>
      <c r="H1009" s="92" t="n"/>
      <c r="I1009" s="92" t="n"/>
      <c r="J1009" s="92" t="n"/>
      <c r="K1009" s="92" t="n"/>
      <c r="L1009" s="92" t="n"/>
      <c r="M1009" s="97" t="n"/>
      <c r="N1009" s="92" t="n"/>
      <c r="O1009" s="92" t="n"/>
      <c r="P1009" s="92" t="n"/>
    </row>
    <row r="1010" ht="32" customHeight="1">
      <c r="A1010" s="91" t="n"/>
      <c r="B1010" s="91" t="n"/>
      <c r="C1010" s="91" t="n"/>
      <c r="D1010" s="91" t="n"/>
      <c r="E1010" s="91" t="n"/>
      <c r="F1010" s="94" t="n"/>
      <c r="G1010" s="94" t="n"/>
      <c r="H1010" s="91" t="n"/>
      <c r="I1010" s="91" t="n"/>
      <c r="J1010" s="91" t="n"/>
      <c r="K1010" s="91" t="n"/>
      <c r="L1010" s="91" t="n"/>
      <c r="M1010" s="95" t="n"/>
      <c r="N1010" s="91" t="n"/>
      <c r="O1010" s="91" t="n"/>
      <c r="P1010" s="91" t="n"/>
    </row>
    <row r="1011" ht="32" customHeight="1">
      <c r="A1011" s="92" t="n"/>
      <c r="B1011" s="92" t="n"/>
      <c r="C1011" s="92" t="n"/>
      <c r="D1011" s="92" t="n"/>
      <c r="E1011" s="92" t="n"/>
      <c r="F1011" s="96" t="n"/>
      <c r="G1011" s="96" t="n"/>
      <c r="H1011" s="92" t="n"/>
      <c r="I1011" s="92" t="n"/>
      <c r="J1011" s="92" t="n"/>
      <c r="K1011" s="92" t="n"/>
      <c r="L1011" s="92" t="n"/>
      <c r="M1011" s="97" t="n"/>
      <c r="N1011" s="92" t="n"/>
      <c r="O1011" s="92" t="n"/>
      <c r="P1011" s="92" t="n"/>
    </row>
    <row r="1012" ht="32" customHeight="1">
      <c r="A1012" s="91" t="n"/>
      <c r="B1012" s="91" t="n"/>
      <c r="C1012" s="91" t="n"/>
      <c r="D1012" s="91" t="n"/>
      <c r="E1012" s="91" t="n"/>
      <c r="F1012" s="94" t="n"/>
      <c r="G1012" s="94" t="n"/>
      <c r="H1012" s="91" t="n"/>
      <c r="I1012" s="91" t="n"/>
      <c r="J1012" s="91" t="n"/>
      <c r="K1012" s="91" t="n"/>
      <c r="L1012" s="91" t="n"/>
      <c r="M1012" s="95" t="n"/>
      <c r="N1012" s="91" t="n"/>
      <c r="O1012" s="91" t="n"/>
      <c r="P1012" s="91" t="n"/>
    </row>
    <row r="1013" ht="32" customHeight="1">
      <c r="A1013" s="92" t="n"/>
      <c r="B1013" s="92" t="n"/>
      <c r="C1013" s="92" t="n"/>
      <c r="D1013" s="92" t="n"/>
      <c r="E1013" s="92" t="n"/>
      <c r="F1013" s="96" t="n"/>
      <c r="G1013" s="96" t="n"/>
      <c r="H1013" s="92" t="n"/>
      <c r="I1013" s="92" t="n"/>
      <c r="J1013" s="92" t="n"/>
      <c r="K1013" s="92" t="n"/>
      <c r="L1013" s="92" t="n"/>
      <c r="M1013" s="97" t="n"/>
      <c r="N1013" s="92" t="n"/>
      <c r="O1013" s="92" t="n"/>
      <c r="P1013" s="92" t="n"/>
    </row>
    <row r="1014" ht="32" customHeight="1">
      <c r="A1014" s="91" t="n"/>
      <c r="B1014" s="91" t="n"/>
      <c r="C1014" s="91" t="n"/>
      <c r="D1014" s="91" t="n"/>
      <c r="E1014" s="91" t="n"/>
      <c r="F1014" s="94" t="n"/>
      <c r="G1014" s="94" t="n"/>
      <c r="H1014" s="91" t="n"/>
      <c r="I1014" s="91" t="n"/>
      <c r="J1014" s="91" t="n"/>
      <c r="K1014" s="91" t="n"/>
      <c r="L1014" s="91" t="n"/>
      <c r="M1014" s="95" t="n"/>
      <c r="N1014" s="91" t="n"/>
      <c r="O1014" s="91" t="n"/>
      <c r="P1014" s="91" t="n"/>
    </row>
    <row r="1015" ht="32" customHeight="1">
      <c r="A1015" s="92" t="n"/>
      <c r="B1015" s="92" t="n"/>
      <c r="C1015" s="92" t="n"/>
      <c r="D1015" s="92" t="n"/>
      <c r="E1015" s="92" t="n"/>
      <c r="F1015" s="96" t="n"/>
      <c r="G1015" s="96" t="n"/>
      <c r="H1015" s="92" t="n"/>
      <c r="I1015" s="92" t="n"/>
      <c r="J1015" s="92" t="n"/>
      <c r="K1015" s="92" t="n"/>
      <c r="L1015" s="92" t="n"/>
      <c r="M1015" s="97" t="n"/>
      <c r="N1015" s="92" t="n"/>
      <c r="O1015" s="92" t="n"/>
      <c r="P1015" s="92" t="n"/>
    </row>
    <row r="1016" ht="32" customHeight="1">
      <c r="A1016" s="91" t="n"/>
      <c r="B1016" s="91" t="n"/>
      <c r="C1016" s="91" t="n"/>
      <c r="D1016" s="91" t="n"/>
      <c r="E1016" s="91" t="n"/>
      <c r="F1016" s="94" t="n"/>
      <c r="G1016" s="94" t="n"/>
      <c r="H1016" s="91" t="n"/>
      <c r="I1016" s="91" t="n"/>
      <c r="J1016" s="91" t="n"/>
      <c r="K1016" s="91" t="n"/>
      <c r="L1016" s="91" t="n"/>
      <c r="M1016" s="95" t="n"/>
      <c r="N1016" s="91" t="n"/>
      <c r="O1016" s="91" t="n"/>
      <c r="P1016" s="91" t="n"/>
    </row>
    <row r="1017" ht="32" customHeight="1">
      <c r="A1017" s="92" t="n"/>
      <c r="B1017" s="92" t="n"/>
      <c r="C1017" s="92" t="n"/>
      <c r="D1017" s="92" t="n"/>
      <c r="E1017" s="92" t="n"/>
      <c r="F1017" s="96" t="n"/>
      <c r="G1017" s="96" t="n"/>
      <c r="H1017" s="92" t="n"/>
      <c r="I1017" s="92" t="n"/>
      <c r="J1017" s="92" t="n"/>
      <c r="K1017" s="92" t="n"/>
      <c r="L1017" s="92" t="n"/>
      <c r="M1017" s="97" t="n"/>
      <c r="N1017" s="92" t="n"/>
      <c r="O1017" s="92" t="n"/>
      <c r="P1017" s="92" t="n"/>
    </row>
    <row r="1018" ht="32" customHeight="1">
      <c r="A1018" s="91" t="n"/>
      <c r="B1018" s="91" t="n"/>
      <c r="C1018" s="91" t="n"/>
      <c r="D1018" s="91" t="n"/>
      <c r="E1018" s="91" t="n"/>
      <c r="F1018" s="94" t="n"/>
      <c r="G1018" s="94" t="n"/>
      <c r="H1018" s="91" t="n"/>
      <c r="I1018" s="91" t="n"/>
      <c r="J1018" s="91" t="n"/>
      <c r="K1018" s="91" t="n"/>
      <c r="L1018" s="91" t="n"/>
      <c r="M1018" s="95" t="n"/>
      <c r="N1018" s="91" t="n"/>
      <c r="O1018" s="91" t="n"/>
      <c r="P1018" s="91" t="n"/>
    </row>
    <row r="1019" ht="32" customHeight="1">
      <c r="A1019" s="92" t="n"/>
      <c r="B1019" s="92" t="n"/>
      <c r="C1019" s="92" t="n"/>
      <c r="D1019" s="92" t="n"/>
      <c r="E1019" s="92" t="n"/>
      <c r="F1019" s="96" t="n"/>
      <c r="G1019" s="96" t="n"/>
      <c r="H1019" s="92" t="n"/>
      <c r="I1019" s="92" t="n"/>
      <c r="J1019" s="92" t="n"/>
      <c r="K1019" s="92" t="n"/>
      <c r="L1019" s="92" t="n"/>
      <c r="M1019" s="97" t="n"/>
      <c r="N1019" s="92" t="n"/>
      <c r="O1019" s="92" t="n"/>
      <c r="P1019" s="92" t="n"/>
    </row>
    <row r="1020" ht="32" customHeight="1">
      <c r="A1020" s="91" t="n"/>
      <c r="B1020" s="91" t="n"/>
      <c r="C1020" s="91" t="n"/>
      <c r="D1020" s="91" t="n"/>
      <c r="E1020" s="91" t="n"/>
      <c r="F1020" s="94" t="n"/>
      <c r="G1020" s="94" t="n"/>
      <c r="H1020" s="91" t="n"/>
      <c r="I1020" s="91" t="n"/>
      <c r="J1020" s="91" t="n"/>
      <c r="K1020" s="91" t="n"/>
      <c r="L1020" s="91" t="n"/>
      <c r="M1020" s="95" t="n"/>
      <c r="N1020" s="91" t="n"/>
      <c r="O1020" s="91" t="n"/>
      <c r="P1020" s="91" t="n"/>
    </row>
    <row r="1021" ht="32" customHeight="1">
      <c r="A1021" s="92" t="n"/>
      <c r="B1021" s="92" t="n"/>
      <c r="C1021" s="92" t="n"/>
      <c r="D1021" s="92" t="n"/>
      <c r="E1021" s="92" t="n"/>
      <c r="F1021" s="96" t="n"/>
      <c r="G1021" s="96" t="n"/>
      <c r="H1021" s="92" t="n"/>
      <c r="I1021" s="92" t="n"/>
      <c r="J1021" s="92" t="n"/>
      <c r="K1021" s="92" t="n"/>
      <c r="L1021" s="92" t="n"/>
      <c r="M1021" s="97" t="n"/>
      <c r="N1021" s="92" t="n"/>
      <c r="O1021" s="92" t="n"/>
      <c r="P1021" s="92" t="n"/>
    </row>
    <row r="1022" ht="32" customHeight="1">
      <c r="A1022" s="91" t="n"/>
      <c r="B1022" s="91" t="n"/>
      <c r="C1022" s="91" t="n"/>
      <c r="D1022" s="91" t="n"/>
      <c r="E1022" s="91" t="n"/>
      <c r="F1022" s="94" t="n"/>
      <c r="G1022" s="94" t="n"/>
      <c r="H1022" s="91" t="n"/>
      <c r="I1022" s="91" t="n"/>
      <c r="J1022" s="91" t="n"/>
      <c r="K1022" s="91" t="n"/>
      <c r="L1022" s="91" t="n"/>
      <c r="M1022" s="95" t="n"/>
      <c r="N1022" s="91" t="n"/>
      <c r="O1022" s="91" t="n"/>
      <c r="P1022" s="91" t="n"/>
    </row>
    <row r="1023" ht="32" customHeight="1">
      <c r="A1023" s="92" t="n"/>
      <c r="B1023" s="92" t="n"/>
      <c r="C1023" s="92" t="n"/>
      <c r="D1023" s="92" t="n"/>
      <c r="E1023" s="92" t="n"/>
      <c r="F1023" s="96" t="n"/>
      <c r="G1023" s="96" t="n"/>
      <c r="H1023" s="92" t="n"/>
      <c r="I1023" s="92" t="n"/>
      <c r="J1023" s="92" t="n"/>
      <c r="K1023" s="92" t="n"/>
      <c r="L1023" s="92" t="n"/>
      <c r="M1023" s="97" t="n"/>
      <c r="N1023" s="92" t="n"/>
      <c r="O1023" s="92" t="n"/>
      <c r="P1023" s="92" t="n"/>
    </row>
    <row r="1024" ht="32" customHeight="1">
      <c r="A1024" s="91" t="n"/>
      <c r="B1024" s="91" t="n"/>
      <c r="C1024" s="91" t="n"/>
      <c r="D1024" s="91" t="n"/>
      <c r="E1024" s="91" t="n"/>
      <c r="F1024" s="94" t="n"/>
      <c r="G1024" s="94" t="n"/>
      <c r="H1024" s="91" t="n"/>
      <c r="I1024" s="91" t="n"/>
      <c r="J1024" s="91" t="n"/>
      <c r="K1024" s="91" t="n"/>
      <c r="L1024" s="91" t="n"/>
      <c r="M1024" s="95" t="n"/>
      <c r="N1024" s="91" t="n"/>
      <c r="O1024" s="91" t="n"/>
      <c r="P1024" s="91" t="n"/>
    </row>
    <row r="1025" ht="32" customHeight="1">
      <c r="A1025" s="92" t="n"/>
      <c r="B1025" s="92" t="n"/>
      <c r="C1025" s="92" t="n"/>
      <c r="D1025" s="92" t="n"/>
      <c r="E1025" s="92" t="n"/>
      <c r="F1025" s="96" t="n"/>
      <c r="G1025" s="96" t="n"/>
      <c r="H1025" s="92" t="n"/>
      <c r="I1025" s="92" t="n"/>
      <c r="J1025" s="92" t="n"/>
      <c r="K1025" s="92" t="n"/>
      <c r="L1025" s="92" t="n"/>
      <c r="M1025" s="97" t="n"/>
      <c r="N1025" s="92" t="n"/>
      <c r="O1025" s="92" t="n"/>
      <c r="P1025" s="92" t="n"/>
    </row>
    <row r="1026" ht="32" customHeight="1">
      <c r="A1026" s="91" t="n"/>
      <c r="B1026" s="91" t="n"/>
      <c r="C1026" s="91" t="n"/>
      <c r="D1026" s="91" t="n"/>
      <c r="E1026" s="91" t="n"/>
      <c r="F1026" s="94" t="n"/>
      <c r="G1026" s="94" t="n"/>
      <c r="H1026" s="91" t="n"/>
      <c r="I1026" s="91" t="n"/>
      <c r="J1026" s="91" t="n"/>
      <c r="K1026" s="91" t="n"/>
      <c r="L1026" s="91" t="n"/>
      <c r="M1026" s="95" t="n"/>
      <c r="N1026" s="91" t="n"/>
      <c r="O1026" s="91" t="n"/>
      <c r="P1026" s="91" t="n"/>
    </row>
    <row r="1027" ht="32" customHeight="1">
      <c r="A1027" s="92" t="n"/>
      <c r="B1027" s="92" t="n"/>
      <c r="C1027" s="92" t="n"/>
      <c r="D1027" s="92" t="n"/>
      <c r="E1027" s="92" t="n"/>
      <c r="F1027" s="96" t="n"/>
      <c r="G1027" s="96" t="n"/>
      <c r="H1027" s="92" t="n"/>
      <c r="I1027" s="92" t="n"/>
      <c r="J1027" s="92" t="n"/>
      <c r="K1027" s="92" t="n"/>
      <c r="L1027" s="92" t="n"/>
      <c r="M1027" s="97" t="n"/>
      <c r="N1027" s="92" t="n"/>
      <c r="O1027" s="92" t="n"/>
      <c r="P1027" s="92" t="n"/>
    </row>
    <row r="1028" ht="32" customHeight="1">
      <c r="A1028" s="91" t="n"/>
      <c r="B1028" s="91" t="n"/>
      <c r="C1028" s="91" t="n"/>
      <c r="D1028" s="91" t="n"/>
      <c r="E1028" s="91" t="n"/>
      <c r="F1028" s="94" t="n"/>
      <c r="G1028" s="94" t="n"/>
      <c r="H1028" s="91" t="n"/>
      <c r="I1028" s="91" t="n"/>
      <c r="J1028" s="91" t="n"/>
      <c r="K1028" s="91" t="n"/>
      <c r="L1028" s="91" t="n"/>
      <c r="M1028" s="95" t="n"/>
      <c r="N1028" s="91" t="n"/>
      <c r="O1028" s="91" t="n"/>
      <c r="P1028" s="91" t="n"/>
    </row>
    <row r="1029" ht="32" customHeight="1">
      <c r="A1029" s="92" t="n"/>
      <c r="B1029" s="92" t="n"/>
      <c r="C1029" s="92" t="n"/>
      <c r="D1029" s="92" t="n"/>
      <c r="E1029" s="92" t="n"/>
      <c r="F1029" s="96" t="n"/>
      <c r="G1029" s="96" t="n"/>
      <c r="H1029" s="92" t="n"/>
      <c r="I1029" s="92" t="n"/>
      <c r="J1029" s="92" t="n"/>
      <c r="K1029" s="92" t="n"/>
      <c r="L1029" s="92" t="n"/>
      <c r="M1029" s="97" t="n"/>
      <c r="N1029" s="92" t="n"/>
      <c r="O1029" s="92" t="n"/>
      <c r="P1029" s="92" t="n"/>
    </row>
    <row r="1030" ht="32" customHeight="1">
      <c r="A1030" s="91" t="n"/>
      <c r="B1030" s="91" t="n"/>
      <c r="C1030" s="91" t="n"/>
      <c r="D1030" s="91" t="n"/>
      <c r="E1030" s="91" t="n"/>
      <c r="F1030" s="94" t="n"/>
      <c r="G1030" s="94" t="n"/>
      <c r="H1030" s="91" t="n"/>
      <c r="I1030" s="91" t="n"/>
      <c r="J1030" s="91" t="n"/>
      <c r="K1030" s="91" t="n"/>
      <c r="L1030" s="91" t="n"/>
      <c r="M1030" s="95" t="n"/>
      <c r="N1030" s="91" t="n"/>
      <c r="O1030" s="91" t="n"/>
      <c r="P1030" s="91" t="n"/>
    </row>
    <row r="1031" ht="32" customHeight="1">
      <c r="A1031" s="92" t="n"/>
      <c r="B1031" s="92" t="n"/>
      <c r="C1031" s="92" t="n"/>
      <c r="D1031" s="92" t="n"/>
      <c r="E1031" s="92" t="n"/>
      <c r="F1031" s="96" t="n"/>
      <c r="G1031" s="96" t="n"/>
      <c r="H1031" s="92" t="n"/>
      <c r="I1031" s="92" t="n"/>
      <c r="J1031" s="92" t="n"/>
      <c r="K1031" s="92" t="n"/>
      <c r="L1031" s="92" t="n"/>
      <c r="M1031" s="97" t="n"/>
      <c r="N1031" s="92" t="n"/>
      <c r="O1031" s="92" t="n"/>
      <c r="P1031" s="92" t="n"/>
    </row>
    <row r="1032" ht="32" customHeight="1">
      <c r="A1032" s="91" t="n"/>
      <c r="B1032" s="91" t="n"/>
      <c r="C1032" s="91" t="n"/>
      <c r="D1032" s="91" t="n"/>
      <c r="E1032" s="91" t="n"/>
      <c r="F1032" s="94" t="n"/>
      <c r="G1032" s="94" t="n"/>
      <c r="H1032" s="91" t="n"/>
      <c r="I1032" s="91" t="n"/>
      <c r="J1032" s="91" t="n"/>
      <c r="K1032" s="91" t="n"/>
      <c r="L1032" s="91" t="n"/>
      <c r="M1032" s="95" t="n"/>
      <c r="N1032" s="91" t="n"/>
      <c r="O1032" s="91" t="n"/>
      <c r="P1032" s="91" t="n"/>
    </row>
    <row r="1033" ht="32" customHeight="1">
      <c r="A1033" s="92" t="n"/>
      <c r="B1033" s="92" t="n"/>
      <c r="C1033" s="92" t="n"/>
      <c r="D1033" s="92" t="n"/>
      <c r="E1033" s="92" t="n"/>
      <c r="F1033" s="96" t="n"/>
      <c r="G1033" s="96" t="n"/>
      <c r="H1033" s="92" t="n"/>
      <c r="I1033" s="92" t="n"/>
      <c r="J1033" s="92" t="n"/>
      <c r="K1033" s="92" t="n"/>
      <c r="L1033" s="92" t="n"/>
      <c r="M1033" s="97" t="n"/>
      <c r="N1033" s="92" t="n"/>
      <c r="O1033" s="92" t="n"/>
      <c r="P1033" s="92" t="n"/>
    </row>
    <row r="1034" ht="32" customHeight="1">
      <c r="A1034" s="91" t="n"/>
      <c r="B1034" s="91" t="n"/>
      <c r="C1034" s="91" t="n"/>
      <c r="D1034" s="91" t="n"/>
      <c r="E1034" s="91" t="n"/>
      <c r="F1034" s="94" t="n"/>
      <c r="G1034" s="94" t="n"/>
      <c r="H1034" s="91" t="n"/>
      <c r="I1034" s="91" t="n"/>
      <c r="J1034" s="91" t="n"/>
      <c r="K1034" s="91" t="n"/>
      <c r="L1034" s="91" t="n"/>
      <c r="M1034" s="95" t="n"/>
      <c r="N1034" s="91" t="n"/>
      <c r="O1034" s="91" t="n"/>
      <c r="P1034" s="91" t="n"/>
    </row>
    <row r="1035" ht="32" customHeight="1">
      <c r="A1035" s="92" t="n"/>
      <c r="B1035" s="92" t="n"/>
      <c r="C1035" s="92" t="n"/>
      <c r="D1035" s="92" t="n"/>
      <c r="E1035" s="92" t="n"/>
      <c r="F1035" s="96" t="n"/>
      <c r="G1035" s="96" t="n"/>
      <c r="H1035" s="92" t="n"/>
      <c r="I1035" s="92" t="n"/>
      <c r="J1035" s="92" t="n"/>
      <c r="K1035" s="92" t="n"/>
      <c r="L1035" s="92" t="n"/>
      <c r="M1035" s="97" t="n"/>
      <c r="N1035" s="92" t="n"/>
      <c r="O1035" s="92" t="n"/>
      <c r="P1035" s="92" t="n"/>
    </row>
    <row r="1036" ht="32" customHeight="1">
      <c r="A1036" s="91" t="n"/>
      <c r="B1036" s="91" t="n"/>
      <c r="C1036" s="91" t="n"/>
      <c r="D1036" s="91" t="n"/>
      <c r="E1036" s="91" t="n"/>
      <c r="F1036" s="94" t="n"/>
      <c r="G1036" s="94" t="n"/>
      <c r="H1036" s="91" t="n"/>
      <c r="I1036" s="91" t="n"/>
      <c r="J1036" s="91" t="n"/>
      <c r="K1036" s="91" t="n"/>
      <c r="L1036" s="91" t="n"/>
      <c r="M1036" s="95" t="n"/>
      <c r="N1036" s="91" t="n"/>
      <c r="O1036" s="91" t="n"/>
      <c r="P1036" s="91" t="n"/>
    </row>
    <row r="1037" ht="32" customHeight="1">
      <c r="A1037" s="92" t="n"/>
      <c r="B1037" s="92" t="n"/>
      <c r="C1037" s="92" t="n"/>
      <c r="D1037" s="92" t="n"/>
      <c r="E1037" s="92" t="n"/>
      <c r="F1037" s="96" t="n"/>
      <c r="G1037" s="96" t="n"/>
      <c r="H1037" s="92" t="n"/>
      <c r="I1037" s="92" t="n"/>
      <c r="J1037" s="92" t="n"/>
      <c r="K1037" s="92" t="n"/>
      <c r="L1037" s="92" t="n"/>
      <c r="M1037" s="97" t="n"/>
      <c r="N1037" s="92" t="n"/>
      <c r="O1037" s="92" t="n"/>
      <c r="P1037" s="92" t="n"/>
    </row>
    <row r="1038" ht="32" customHeight="1">
      <c r="A1038" s="91" t="n"/>
      <c r="B1038" s="91" t="n"/>
      <c r="C1038" s="91" t="n"/>
      <c r="D1038" s="91" t="n"/>
      <c r="E1038" s="91" t="n"/>
      <c r="F1038" s="94" t="n"/>
      <c r="G1038" s="94" t="n"/>
      <c r="H1038" s="91" t="n"/>
      <c r="I1038" s="91" t="n"/>
      <c r="J1038" s="91" t="n"/>
      <c r="K1038" s="91" t="n"/>
      <c r="L1038" s="91" t="n"/>
      <c r="M1038" s="95" t="n"/>
      <c r="N1038" s="91" t="n"/>
      <c r="O1038" s="91" t="n"/>
      <c r="P1038" s="91" t="n"/>
    </row>
    <row r="1039" ht="32" customHeight="1">
      <c r="A1039" s="92" t="n"/>
      <c r="B1039" s="92" t="n"/>
      <c r="C1039" s="92" t="n"/>
      <c r="D1039" s="92" t="n"/>
      <c r="E1039" s="92" t="n"/>
      <c r="F1039" s="96" t="n"/>
      <c r="G1039" s="96" t="n"/>
      <c r="H1039" s="92" t="n"/>
      <c r="I1039" s="92" t="n"/>
      <c r="J1039" s="92" t="n"/>
      <c r="K1039" s="92" t="n"/>
      <c r="L1039" s="92" t="n"/>
      <c r="M1039" s="97" t="n"/>
      <c r="N1039" s="92" t="n"/>
      <c r="O1039" s="92" t="n"/>
      <c r="P1039" s="92" t="n"/>
    </row>
    <row r="1040" ht="32" customHeight="1">
      <c r="A1040" s="91" t="n"/>
      <c r="B1040" s="91" t="n"/>
      <c r="C1040" s="91" t="n"/>
      <c r="D1040" s="91" t="n"/>
      <c r="E1040" s="91" t="n"/>
      <c r="F1040" s="94" t="n"/>
      <c r="G1040" s="94" t="n"/>
      <c r="H1040" s="91" t="n"/>
      <c r="I1040" s="91" t="n"/>
      <c r="J1040" s="91" t="n"/>
      <c r="K1040" s="91" t="n"/>
      <c r="L1040" s="91" t="n"/>
      <c r="M1040" s="95" t="n"/>
      <c r="N1040" s="91" t="n"/>
      <c r="O1040" s="91" t="n"/>
      <c r="P1040" s="91" t="n"/>
    </row>
    <row r="1041" ht="32" customHeight="1">
      <c r="A1041" s="92" t="n"/>
      <c r="B1041" s="92" t="n"/>
      <c r="C1041" s="92" t="n"/>
      <c r="D1041" s="92" t="n"/>
      <c r="E1041" s="92" t="n"/>
      <c r="F1041" s="96" t="n"/>
      <c r="G1041" s="96" t="n"/>
      <c r="H1041" s="92" t="n"/>
      <c r="I1041" s="92" t="n"/>
      <c r="J1041" s="92" t="n"/>
      <c r="K1041" s="92" t="n"/>
      <c r="L1041" s="92" t="n"/>
      <c r="M1041" s="97" t="n"/>
      <c r="N1041" s="92" t="n"/>
      <c r="O1041" s="92" t="n"/>
      <c r="P1041" s="92" t="n"/>
    </row>
    <row r="1042" ht="32" customHeight="1">
      <c r="A1042" s="91" t="n"/>
      <c r="B1042" s="91" t="n"/>
      <c r="C1042" s="91" t="n"/>
      <c r="D1042" s="91" t="n"/>
      <c r="E1042" s="91" t="n"/>
      <c r="F1042" s="94" t="n"/>
      <c r="G1042" s="94" t="n"/>
      <c r="H1042" s="91" t="n"/>
      <c r="I1042" s="91" t="n"/>
      <c r="J1042" s="91" t="n"/>
      <c r="K1042" s="91" t="n"/>
      <c r="L1042" s="91" t="n"/>
      <c r="M1042" s="95" t="n"/>
      <c r="N1042" s="91" t="n"/>
      <c r="O1042" s="91" t="n"/>
      <c r="P1042" s="91" t="n"/>
    </row>
    <row r="1043" ht="32" customHeight="1">
      <c r="A1043" s="92" t="n"/>
      <c r="B1043" s="92" t="n"/>
      <c r="C1043" s="92" t="n"/>
      <c r="D1043" s="92" t="n"/>
      <c r="E1043" s="92" t="n"/>
      <c r="F1043" s="96" t="n"/>
      <c r="G1043" s="96" t="n"/>
      <c r="H1043" s="92" t="n"/>
      <c r="I1043" s="92" t="n"/>
      <c r="J1043" s="92" t="n"/>
      <c r="K1043" s="92" t="n"/>
      <c r="L1043" s="92" t="n"/>
      <c r="M1043" s="97" t="n"/>
      <c r="N1043" s="92" t="n"/>
      <c r="O1043" s="92" t="n"/>
      <c r="P1043" s="92" t="n"/>
    </row>
    <row r="1044" ht="32" customHeight="1">
      <c r="A1044" s="91" t="n"/>
      <c r="B1044" s="91" t="n"/>
      <c r="C1044" s="91" t="n"/>
      <c r="D1044" s="91" t="n"/>
      <c r="E1044" s="91" t="n"/>
      <c r="F1044" s="94" t="n"/>
      <c r="G1044" s="94" t="n"/>
      <c r="H1044" s="91" t="n"/>
      <c r="I1044" s="91" t="n"/>
      <c r="J1044" s="91" t="n"/>
      <c r="K1044" s="91" t="n"/>
      <c r="L1044" s="91" t="n"/>
      <c r="M1044" s="95" t="n"/>
      <c r="N1044" s="91" t="n"/>
      <c r="O1044" s="91" t="n"/>
      <c r="P1044" s="91" t="n"/>
    </row>
    <row r="1045" ht="32" customHeight="1">
      <c r="A1045" s="92" t="n"/>
      <c r="B1045" s="92" t="n"/>
      <c r="C1045" s="92" t="n"/>
      <c r="D1045" s="92" t="n"/>
      <c r="E1045" s="92" t="n"/>
      <c r="F1045" s="96" t="n"/>
      <c r="G1045" s="96" t="n"/>
      <c r="H1045" s="92" t="n"/>
      <c r="I1045" s="92" t="n"/>
      <c r="J1045" s="92" t="n"/>
      <c r="K1045" s="92" t="n"/>
      <c r="L1045" s="92" t="n"/>
      <c r="M1045" s="97" t="n"/>
      <c r="N1045" s="92" t="n"/>
      <c r="O1045" s="92" t="n"/>
      <c r="P1045" s="92" t="n"/>
    </row>
    <row r="1046" ht="32" customHeight="1">
      <c r="A1046" s="91" t="n"/>
      <c r="B1046" s="91" t="n"/>
      <c r="C1046" s="91" t="n"/>
      <c r="D1046" s="91" t="n"/>
      <c r="E1046" s="91" t="n"/>
      <c r="F1046" s="94" t="n"/>
      <c r="G1046" s="94" t="n"/>
      <c r="H1046" s="91" t="n"/>
      <c r="I1046" s="91" t="n"/>
      <c r="J1046" s="91" t="n"/>
      <c r="K1046" s="91" t="n"/>
      <c r="L1046" s="91" t="n"/>
      <c r="M1046" s="95" t="n"/>
      <c r="N1046" s="91" t="n"/>
      <c r="O1046" s="91" t="n"/>
      <c r="P1046" s="91" t="n"/>
    </row>
    <row r="1047" ht="32" customHeight="1">
      <c r="A1047" s="92" t="n"/>
      <c r="B1047" s="92" t="n"/>
      <c r="C1047" s="92" t="n"/>
      <c r="D1047" s="92" t="n"/>
      <c r="E1047" s="92" t="n"/>
      <c r="F1047" s="96" t="n"/>
      <c r="G1047" s="96" t="n"/>
      <c r="H1047" s="92" t="n"/>
      <c r="I1047" s="92" t="n"/>
      <c r="J1047" s="92" t="n"/>
      <c r="K1047" s="92" t="n"/>
      <c r="L1047" s="92" t="n"/>
      <c r="M1047" s="97" t="n"/>
      <c r="N1047" s="92" t="n"/>
      <c r="O1047" s="92" t="n"/>
      <c r="P1047" s="92" t="n"/>
    </row>
    <row r="1048" ht="32" customHeight="1">
      <c r="A1048" s="91" t="n"/>
      <c r="B1048" s="91" t="n"/>
      <c r="C1048" s="91" t="n"/>
      <c r="D1048" s="91" t="n"/>
      <c r="E1048" s="91" t="n"/>
      <c r="F1048" s="94" t="n"/>
      <c r="G1048" s="94" t="n"/>
      <c r="H1048" s="91" t="n"/>
      <c r="I1048" s="91" t="n"/>
      <c r="J1048" s="91" t="n"/>
      <c r="K1048" s="91" t="n"/>
      <c r="L1048" s="91" t="n"/>
      <c r="M1048" s="95" t="n"/>
      <c r="N1048" s="91" t="n"/>
      <c r="O1048" s="91" t="n"/>
      <c r="P1048" s="91" t="n"/>
    </row>
    <row r="1049" ht="32" customHeight="1">
      <c r="A1049" s="92" t="n"/>
      <c r="B1049" s="92" t="n"/>
      <c r="C1049" s="92" t="n"/>
      <c r="D1049" s="92" t="n"/>
      <c r="E1049" s="92" t="n"/>
      <c r="F1049" s="96" t="n"/>
      <c r="G1049" s="96" t="n"/>
      <c r="H1049" s="92" t="n"/>
      <c r="I1049" s="92" t="n"/>
      <c r="J1049" s="92" t="n"/>
      <c r="K1049" s="92" t="n"/>
      <c r="L1049" s="92" t="n"/>
      <c r="M1049" s="97" t="n"/>
      <c r="N1049" s="92" t="n"/>
      <c r="O1049" s="92" t="n"/>
      <c r="P1049" s="92" t="n"/>
    </row>
    <row r="1050" ht="32" customHeight="1">
      <c r="A1050" s="91" t="n"/>
      <c r="B1050" s="91" t="n"/>
      <c r="C1050" s="91" t="n"/>
      <c r="D1050" s="91" t="n"/>
      <c r="E1050" s="91" t="n"/>
      <c r="F1050" s="94" t="n"/>
      <c r="G1050" s="94" t="n"/>
      <c r="H1050" s="91" t="n"/>
      <c r="I1050" s="91" t="n"/>
      <c r="J1050" s="91" t="n"/>
      <c r="K1050" s="91" t="n"/>
      <c r="L1050" s="91" t="n"/>
      <c r="M1050" s="95" t="n"/>
      <c r="N1050" s="91" t="n"/>
      <c r="O1050" s="91" t="n"/>
      <c r="P1050" s="91" t="n"/>
    </row>
    <row r="1051" ht="32" customHeight="1">
      <c r="A1051" s="92" t="n"/>
      <c r="B1051" s="92" t="n"/>
      <c r="C1051" s="92" t="n"/>
      <c r="D1051" s="92" t="n"/>
      <c r="E1051" s="92" t="n"/>
      <c r="F1051" s="96" t="n"/>
      <c r="G1051" s="96" t="n"/>
      <c r="H1051" s="92" t="n"/>
      <c r="I1051" s="92" t="n"/>
      <c r="J1051" s="92" t="n"/>
      <c r="K1051" s="92" t="n"/>
      <c r="L1051" s="92" t="n"/>
      <c r="M1051" s="97" t="n"/>
      <c r="N1051" s="92" t="n"/>
      <c r="O1051" s="92" t="n"/>
      <c r="P1051" s="92" t="n"/>
    </row>
    <row r="1052" ht="32" customHeight="1">
      <c r="A1052" s="91" t="n"/>
      <c r="B1052" s="91" t="n"/>
      <c r="C1052" s="91" t="n"/>
      <c r="D1052" s="91" t="n"/>
      <c r="E1052" s="91" t="n"/>
      <c r="F1052" s="94" t="n"/>
      <c r="G1052" s="94" t="n"/>
      <c r="H1052" s="91" t="n"/>
      <c r="I1052" s="91" t="n"/>
      <c r="J1052" s="91" t="n"/>
      <c r="K1052" s="91" t="n"/>
      <c r="L1052" s="91" t="n"/>
      <c r="M1052" s="95" t="n"/>
      <c r="N1052" s="91" t="n"/>
      <c r="O1052" s="91" t="n"/>
      <c r="P1052" s="91" t="n"/>
    </row>
    <row r="1053" ht="32" customHeight="1">
      <c r="A1053" s="92" t="n"/>
      <c r="B1053" s="92" t="n"/>
      <c r="C1053" s="92" t="n"/>
      <c r="D1053" s="92" t="n"/>
      <c r="E1053" s="92" t="n"/>
      <c r="F1053" s="96" t="n"/>
      <c r="G1053" s="96" t="n"/>
      <c r="H1053" s="92" t="n"/>
      <c r="I1053" s="92" t="n"/>
      <c r="J1053" s="92" t="n"/>
      <c r="K1053" s="92" t="n"/>
      <c r="L1053" s="92" t="n"/>
      <c r="M1053" s="97" t="n"/>
      <c r="N1053" s="92" t="n"/>
      <c r="O1053" s="92" t="n"/>
      <c r="P1053" s="92" t="n"/>
    </row>
    <row r="1054" ht="32" customHeight="1">
      <c r="A1054" s="91" t="n"/>
      <c r="B1054" s="91" t="n"/>
      <c r="C1054" s="91" t="n"/>
      <c r="D1054" s="91" t="n"/>
      <c r="E1054" s="91" t="n"/>
      <c r="F1054" s="94" t="n"/>
      <c r="G1054" s="94" t="n"/>
      <c r="H1054" s="91" t="n"/>
      <c r="I1054" s="91" t="n"/>
      <c r="J1054" s="91" t="n"/>
      <c r="K1054" s="91" t="n"/>
      <c r="L1054" s="91" t="n"/>
      <c r="M1054" s="95" t="n"/>
      <c r="N1054" s="91" t="n"/>
      <c r="O1054" s="91" t="n"/>
      <c r="P1054" s="91" t="n"/>
    </row>
    <row r="1055" ht="32" customHeight="1">
      <c r="A1055" s="92" t="n"/>
      <c r="B1055" s="92" t="n"/>
      <c r="C1055" s="92" t="n"/>
      <c r="D1055" s="92" t="n"/>
      <c r="E1055" s="92" t="n"/>
      <c r="F1055" s="96" t="n"/>
      <c r="G1055" s="96" t="n"/>
      <c r="H1055" s="92" t="n"/>
      <c r="I1055" s="92" t="n"/>
      <c r="J1055" s="92" t="n"/>
      <c r="K1055" s="92" t="n"/>
      <c r="L1055" s="92" t="n"/>
      <c r="M1055" s="97" t="n"/>
      <c r="N1055" s="92" t="n"/>
      <c r="O1055" s="92" t="n"/>
      <c r="P1055" s="92" t="n"/>
    </row>
    <row r="1056" ht="32" customHeight="1">
      <c r="A1056" s="91" t="n"/>
      <c r="B1056" s="91" t="n"/>
      <c r="C1056" s="91" t="n"/>
      <c r="D1056" s="91" t="n"/>
      <c r="E1056" s="91" t="n"/>
      <c r="F1056" s="94" t="n"/>
      <c r="G1056" s="94" t="n"/>
      <c r="H1056" s="91" t="n"/>
      <c r="I1056" s="91" t="n"/>
      <c r="J1056" s="91" t="n"/>
      <c r="K1056" s="91" t="n"/>
      <c r="L1056" s="91" t="n"/>
      <c r="M1056" s="95" t="n"/>
      <c r="N1056" s="91" t="n"/>
      <c r="O1056" s="91" t="n"/>
      <c r="P1056" s="91" t="n"/>
    </row>
    <row r="1057" ht="32" customHeight="1">
      <c r="A1057" s="92" t="n"/>
      <c r="B1057" s="92" t="n"/>
      <c r="C1057" s="92" t="n"/>
      <c r="D1057" s="92" t="n"/>
      <c r="E1057" s="92" t="n"/>
      <c r="F1057" s="96" t="n"/>
      <c r="G1057" s="96" t="n"/>
      <c r="H1057" s="92" t="n"/>
      <c r="I1057" s="92" t="n"/>
      <c r="J1057" s="92" t="n"/>
      <c r="K1057" s="92" t="n"/>
      <c r="L1057" s="92" t="n"/>
      <c r="M1057" s="97" t="n"/>
      <c r="N1057" s="92" t="n"/>
      <c r="O1057" s="92" t="n"/>
      <c r="P1057" s="92" t="n"/>
    </row>
    <row r="1058" ht="32" customHeight="1">
      <c r="A1058" s="91" t="n"/>
      <c r="B1058" s="91" t="n"/>
      <c r="C1058" s="91" t="n"/>
      <c r="D1058" s="91" t="n"/>
      <c r="E1058" s="91" t="n"/>
      <c r="F1058" s="94" t="n"/>
      <c r="G1058" s="94" t="n"/>
      <c r="H1058" s="91" t="n"/>
      <c r="I1058" s="91" t="n"/>
      <c r="J1058" s="91" t="n"/>
      <c r="K1058" s="91" t="n"/>
      <c r="L1058" s="91" t="n"/>
      <c r="M1058" s="95" t="n"/>
      <c r="N1058" s="91" t="n"/>
      <c r="O1058" s="91" t="n"/>
      <c r="P1058" s="91" t="n"/>
    </row>
    <row r="1059" ht="32" customHeight="1">
      <c r="A1059" s="92" t="n"/>
      <c r="B1059" s="92" t="n"/>
      <c r="C1059" s="92" t="n"/>
      <c r="D1059" s="92" t="n"/>
      <c r="E1059" s="92" t="n"/>
      <c r="F1059" s="96" t="n"/>
      <c r="G1059" s="96" t="n"/>
      <c r="H1059" s="92" t="n"/>
      <c r="I1059" s="92" t="n"/>
      <c r="J1059" s="92" t="n"/>
      <c r="K1059" s="92" t="n"/>
      <c r="L1059" s="92" t="n"/>
      <c r="M1059" s="97" t="n"/>
      <c r="N1059" s="92" t="n"/>
      <c r="O1059" s="92" t="n"/>
      <c r="P1059" s="92" t="n"/>
    </row>
    <row r="1060" ht="32" customHeight="1">
      <c r="A1060" s="91" t="n"/>
      <c r="B1060" s="91" t="n"/>
      <c r="C1060" s="91" t="n"/>
      <c r="D1060" s="91" t="n"/>
      <c r="E1060" s="91" t="n"/>
      <c r="F1060" s="94" t="n"/>
      <c r="G1060" s="94" t="n"/>
      <c r="H1060" s="91" t="n"/>
      <c r="I1060" s="91" t="n"/>
      <c r="J1060" s="91" t="n"/>
      <c r="K1060" s="91" t="n"/>
      <c r="L1060" s="91" t="n"/>
      <c r="M1060" s="95" t="n"/>
      <c r="N1060" s="91" t="n"/>
      <c r="O1060" s="91" t="n"/>
      <c r="P1060" s="91" t="n"/>
    </row>
    <row r="1061" ht="32" customHeight="1">
      <c r="A1061" s="92" t="n"/>
      <c r="B1061" s="92" t="n"/>
      <c r="C1061" s="92" t="n"/>
      <c r="D1061" s="92" t="n"/>
      <c r="E1061" s="92" t="n"/>
      <c r="F1061" s="96" t="n"/>
      <c r="G1061" s="96" t="n"/>
      <c r="H1061" s="92" t="n"/>
      <c r="I1061" s="92" t="n"/>
      <c r="J1061" s="92" t="n"/>
      <c r="K1061" s="92" t="n"/>
      <c r="L1061" s="92" t="n"/>
      <c r="M1061" s="97" t="n"/>
      <c r="N1061" s="92" t="n"/>
      <c r="O1061" s="92" t="n"/>
      <c r="P1061" s="92" t="n"/>
    </row>
    <row r="1062" ht="32" customHeight="1">
      <c r="A1062" s="91" t="n"/>
      <c r="B1062" s="91" t="n"/>
      <c r="C1062" s="91" t="n"/>
      <c r="D1062" s="91" t="n"/>
      <c r="E1062" s="91" t="n"/>
      <c r="F1062" s="94" t="n"/>
      <c r="G1062" s="94" t="n"/>
      <c r="H1062" s="91" t="n"/>
      <c r="I1062" s="91" t="n"/>
      <c r="J1062" s="91" t="n"/>
      <c r="K1062" s="91" t="n"/>
      <c r="L1062" s="91" t="n"/>
      <c r="M1062" s="95" t="n"/>
      <c r="N1062" s="91" t="n"/>
      <c r="O1062" s="91" t="n"/>
      <c r="P1062" s="91" t="n"/>
    </row>
    <row r="1063" ht="32" customHeight="1">
      <c r="A1063" s="92" t="n"/>
      <c r="B1063" s="92" t="n"/>
      <c r="C1063" s="92" t="n"/>
      <c r="D1063" s="92" t="n"/>
      <c r="E1063" s="92" t="n"/>
      <c r="F1063" s="96" t="n"/>
      <c r="G1063" s="96" t="n"/>
      <c r="H1063" s="92" t="n"/>
      <c r="I1063" s="92" t="n"/>
      <c r="J1063" s="92" t="n"/>
      <c r="K1063" s="92" t="n"/>
      <c r="L1063" s="92" t="n"/>
      <c r="M1063" s="97" t="n"/>
      <c r="N1063" s="92" t="n"/>
      <c r="O1063" s="92" t="n"/>
      <c r="P1063" s="92" t="n"/>
    </row>
    <row r="1064" ht="32" customHeight="1">
      <c r="A1064" s="91" t="n"/>
      <c r="B1064" s="91" t="n"/>
      <c r="C1064" s="91" t="n"/>
      <c r="D1064" s="91" t="n"/>
      <c r="E1064" s="91" t="n"/>
      <c r="F1064" s="94" t="n"/>
      <c r="G1064" s="94" t="n"/>
      <c r="H1064" s="91" t="n"/>
      <c r="I1064" s="91" t="n"/>
      <c r="J1064" s="91" t="n"/>
      <c r="K1064" s="91" t="n"/>
      <c r="L1064" s="91" t="n"/>
      <c r="M1064" s="95" t="n"/>
      <c r="N1064" s="91" t="n"/>
      <c r="O1064" s="91" t="n"/>
      <c r="P1064" s="91" t="n"/>
    </row>
    <row r="1065" ht="32" customHeight="1">
      <c r="A1065" s="92" t="n"/>
      <c r="B1065" s="92" t="n"/>
      <c r="C1065" s="92" t="n"/>
      <c r="D1065" s="92" t="n"/>
      <c r="E1065" s="92" t="n"/>
      <c r="F1065" s="96" t="n"/>
      <c r="G1065" s="96" t="n"/>
      <c r="H1065" s="92" t="n"/>
      <c r="I1065" s="92" t="n"/>
      <c r="J1065" s="92" t="n"/>
      <c r="K1065" s="92" t="n"/>
      <c r="L1065" s="92" t="n"/>
      <c r="M1065" s="97" t="n"/>
      <c r="N1065" s="92" t="n"/>
      <c r="O1065" s="92" t="n"/>
      <c r="P1065" s="92" t="n"/>
    </row>
    <row r="1066" ht="32" customHeight="1">
      <c r="A1066" s="91" t="n"/>
      <c r="B1066" s="91" t="n"/>
      <c r="C1066" s="91" t="n"/>
      <c r="D1066" s="91" t="n"/>
      <c r="E1066" s="91" t="n"/>
      <c r="F1066" s="94" t="n"/>
      <c r="G1066" s="94" t="n"/>
      <c r="H1066" s="91" t="n"/>
      <c r="I1066" s="91" t="n"/>
      <c r="J1066" s="91" t="n"/>
      <c r="K1066" s="91" t="n"/>
      <c r="L1066" s="91" t="n"/>
      <c r="M1066" s="95" t="n"/>
      <c r="N1066" s="91" t="n"/>
      <c r="O1066" s="91" t="n"/>
      <c r="P1066" s="91" t="n"/>
    </row>
    <row r="1067" ht="32" customHeight="1">
      <c r="A1067" s="92" t="n"/>
      <c r="B1067" s="92" t="n"/>
      <c r="C1067" s="92" t="n"/>
      <c r="D1067" s="92" t="n"/>
      <c r="E1067" s="92" t="n"/>
      <c r="F1067" s="96" t="n"/>
      <c r="G1067" s="96" t="n"/>
      <c r="H1067" s="92" t="n"/>
      <c r="I1067" s="92" t="n"/>
      <c r="J1067" s="92" t="n"/>
      <c r="K1067" s="92" t="n"/>
      <c r="L1067" s="92" t="n"/>
      <c r="M1067" s="97" t="n"/>
      <c r="N1067" s="92" t="n"/>
      <c r="O1067" s="92" t="n"/>
      <c r="P1067" s="92" t="n"/>
    </row>
    <row r="1068" ht="32" customHeight="1">
      <c r="A1068" s="91" t="n"/>
      <c r="B1068" s="91" t="n"/>
      <c r="C1068" s="91" t="n"/>
      <c r="D1068" s="91" t="n"/>
      <c r="E1068" s="91" t="n"/>
      <c r="F1068" s="94" t="n"/>
      <c r="G1068" s="94" t="n"/>
      <c r="H1068" s="91" t="n"/>
      <c r="I1068" s="91" t="n"/>
      <c r="J1068" s="91" t="n"/>
      <c r="K1068" s="91" t="n"/>
      <c r="L1068" s="91" t="n"/>
      <c r="M1068" s="95" t="n"/>
      <c r="N1068" s="91" t="n"/>
      <c r="O1068" s="91" t="n"/>
      <c r="P1068" s="91" t="n"/>
    </row>
    <row r="1069" ht="32" customHeight="1">
      <c r="A1069" s="92" t="n"/>
      <c r="B1069" s="92" t="n"/>
      <c r="C1069" s="92" t="n"/>
      <c r="D1069" s="92" t="n"/>
      <c r="E1069" s="92" t="n"/>
      <c r="F1069" s="96" t="n"/>
      <c r="G1069" s="96" t="n"/>
      <c r="H1069" s="92" t="n"/>
      <c r="I1069" s="92" t="n"/>
      <c r="J1069" s="92" t="n"/>
      <c r="K1069" s="92" t="n"/>
      <c r="L1069" s="92" t="n"/>
      <c r="M1069" s="97" t="n"/>
      <c r="N1069" s="92" t="n"/>
      <c r="O1069" s="92" t="n"/>
      <c r="P1069" s="92" t="n"/>
    </row>
    <row r="1070" ht="32" customHeight="1">
      <c r="A1070" s="91" t="n"/>
      <c r="B1070" s="91" t="n"/>
      <c r="C1070" s="91" t="n"/>
      <c r="D1070" s="91" t="n"/>
      <c r="E1070" s="91" t="n"/>
      <c r="F1070" s="94" t="n"/>
      <c r="G1070" s="94" t="n"/>
      <c r="H1070" s="91" t="n"/>
      <c r="I1070" s="91" t="n"/>
      <c r="J1070" s="91" t="n"/>
      <c r="K1070" s="91" t="n"/>
      <c r="L1070" s="91" t="n"/>
      <c r="M1070" s="95" t="n"/>
      <c r="N1070" s="91" t="n"/>
      <c r="O1070" s="91" t="n"/>
      <c r="P1070" s="91" t="n"/>
    </row>
    <row r="1071" ht="32" customHeight="1">
      <c r="A1071" s="92" t="n"/>
      <c r="B1071" s="92" t="n"/>
      <c r="C1071" s="92" t="n"/>
      <c r="D1071" s="92" t="n"/>
      <c r="E1071" s="92" t="n"/>
      <c r="F1071" s="96" t="n"/>
      <c r="G1071" s="96" t="n"/>
      <c r="H1071" s="92" t="n"/>
      <c r="I1071" s="92" t="n"/>
      <c r="J1071" s="92" t="n"/>
      <c r="K1071" s="92" t="n"/>
      <c r="L1071" s="92" t="n"/>
      <c r="M1071" s="97" t="n"/>
      <c r="N1071" s="92" t="n"/>
      <c r="O1071" s="92" t="n"/>
      <c r="P1071" s="92" t="n"/>
    </row>
    <row r="1072" ht="32" customHeight="1">
      <c r="A1072" s="91" t="n"/>
      <c r="B1072" s="91" t="n"/>
      <c r="C1072" s="91" t="n"/>
      <c r="D1072" s="91" t="n"/>
      <c r="E1072" s="91" t="n"/>
      <c r="F1072" s="94" t="n"/>
      <c r="G1072" s="94" t="n"/>
      <c r="H1072" s="91" t="n"/>
      <c r="I1072" s="91" t="n"/>
      <c r="J1072" s="91" t="n"/>
      <c r="K1072" s="91" t="n"/>
      <c r="L1072" s="91" t="n"/>
      <c r="M1072" s="95" t="n"/>
      <c r="N1072" s="91" t="n"/>
      <c r="O1072" s="91" t="n"/>
      <c r="P1072" s="91" t="n"/>
    </row>
    <row r="1073" ht="32" customHeight="1">
      <c r="A1073" s="92" t="n"/>
      <c r="B1073" s="92" t="n"/>
      <c r="C1073" s="92" t="n"/>
      <c r="D1073" s="92" t="n"/>
      <c r="E1073" s="92" t="n"/>
      <c r="F1073" s="96" t="n"/>
      <c r="G1073" s="96" t="n"/>
      <c r="H1073" s="92" t="n"/>
      <c r="I1073" s="92" t="n"/>
      <c r="J1073" s="92" t="n"/>
      <c r="K1073" s="92" t="n"/>
      <c r="L1073" s="92" t="n"/>
      <c r="M1073" s="97" t="n"/>
      <c r="N1073" s="92" t="n"/>
      <c r="O1073" s="92" t="n"/>
      <c r="P1073" s="92" t="n"/>
    </row>
    <row r="1074" ht="32" customHeight="1">
      <c r="A1074" s="91" t="n"/>
      <c r="B1074" s="91" t="n"/>
      <c r="C1074" s="91" t="n"/>
      <c r="D1074" s="91" t="n"/>
      <c r="E1074" s="91" t="n"/>
      <c r="F1074" s="94" t="n"/>
      <c r="G1074" s="94" t="n"/>
      <c r="H1074" s="91" t="n"/>
      <c r="I1074" s="91" t="n"/>
      <c r="J1074" s="91" t="n"/>
      <c r="K1074" s="91" t="n"/>
      <c r="L1074" s="91" t="n"/>
      <c r="M1074" s="95" t="n"/>
      <c r="N1074" s="91" t="n"/>
      <c r="O1074" s="91" t="n"/>
      <c r="P1074" s="91" t="n"/>
    </row>
    <row r="1075" ht="32" customHeight="1">
      <c r="A1075" s="92" t="n"/>
      <c r="B1075" s="92" t="n"/>
      <c r="C1075" s="92" t="n"/>
      <c r="D1075" s="92" t="n"/>
      <c r="E1075" s="92" t="n"/>
      <c r="F1075" s="96" t="n"/>
      <c r="G1075" s="96" t="n"/>
      <c r="H1075" s="92" t="n"/>
      <c r="I1075" s="92" t="n"/>
      <c r="J1075" s="92" t="n"/>
      <c r="K1075" s="92" t="n"/>
      <c r="L1075" s="92" t="n"/>
      <c r="M1075" s="97" t="n"/>
      <c r="N1075" s="92" t="n"/>
      <c r="O1075" s="92" t="n"/>
      <c r="P1075" s="92" t="n"/>
    </row>
    <row r="1076" ht="32" customHeight="1">
      <c r="A1076" s="91" t="n"/>
      <c r="B1076" s="91" t="n"/>
      <c r="C1076" s="91" t="n"/>
      <c r="D1076" s="91" t="n"/>
      <c r="E1076" s="91" t="n"/>
      <c r="F1076" s="94" t="n"/>
      <c r="G1076" s="94" t="n"/>
      <c r="H1076" s="91" t="n"/>
      <c r="I1076" s="91" t="n"/>
      <c r="J1076" s="91" t="n"/>
      <c r="K1076" s="91" t="n"/>
      <c r="L1076" s="91" t="n"/>
      <c r="M1076" s="95" t="n"/>
      <c r="N1076" s="91" t="n"/>
      <c r="O1076" s="91" t="n"/>
      <c r="P1076" s="91" t="n"/>
    </row>
    <row r="1077" ht="32" customHeight="1">
      <c r="A1077" s="92" t="n"/>
      <c r="B1077" s="92" t="n"/>
      <c r="C1077" s="92" t="n"/>
      <c r="D1077" s="92" t="n"/>
      <c r="E1077" s="92" t="n"/>
      <c r="F1077" s="96" t="n"/>
      <c r="G1077" s="96" t="n"/>
      <c r="H1077" s="92" t="n"/>
      <c r="I1077" s="92" t="n"/>
      <c r="J1077" s="92" t="n"/>
      <c r="K1077" s="92" t="n"/>
      <c r="L1077" s="92" t="n"/>
      <c r="M1077" s="97" t="n"/>
      <c r="N1077" s="92" t="n"/>
      <c r="O1077" s="92" t="n"/>
      <c r="P1077" s="92" t="n"/>
    </row>
    <row r="1078" ht="32" customHeight="1">
      <c r="A1078" s="91" t="n"/>
      <c r="B1078" s="91" t="n"/>
      <c r="C1078" s="91" t="n"/>
      <c r="D1078" s="91" t="n"/>
      <c r="E1078" s="91" t="n"/>
      <c r="F1078" s="94" t="n"/>
      <c r="G1078" s="94" t="n"/>
      <c r="H1078" s="91" t="n"/>
      <c r="I1078" s="91" t="n"/>
      <c r="J1078" s="91" t="n"/>
      <c r="K1078" s="91" t="n"/>
      <c r="L1078" s="91" t="n"/>
      <c r="M1078" s="95" t="n"/>
      <c r="N1078" s="91" t="n"/>
      <c r="O1078" s="91" t="n"/>
      <c r="P1078" s="91" t="n"/>
    </row>
    <row r="1079" ht="32" customHeight="1">
      <c r="A1079" s="92" t="n"/>
      <c r="B1079" s="92" t="n"/>
      <c r="C1079" s="92" t="n"/>
      <c r="D1079" s="92" t="n"/>
      <c r="E1079" s="92" t="n"/>
      <c r="F1079" s="96" t="n"/>
      <c r="G1079" s="96" t="n"/>
      <c r="H1079" s="92" t="n"/>
      <c r="I1079" s="92" t="n"/>
      <c r="J1079" s="92" t="n"/>
      <c r="K1079" s="92" t="n"/>
      <c r="L1079" s="92" t="n"/>
      <c r="M1079" s="97" t="n"/>
      <c r="N1079" s="92" t="n"/>
      <c r="O1079" s="92" t="n"/>
      <c r="P1079" s="92" t="n"/>
    </row>
    <row r="1080" ht="32" customHeight="1">
      <c r="A1080" s="91" t="n"/>
      <c r="B1080" s="91" t="n"/>
      <c r="C1080" s="91" t="n"/>
      <c r="D1080" s="91" t="n"/>
      <c r="E1080" s="91" t="n"/>
      <c r="F1080" s="94" t="n"/>
      <c r="G1080" s="94" t="n"/>
      <c r="H1080" s="91" t="n"/>
      <c r="I1080" s="91" t="n"/>
      <c r="J1080" s="91" t="n"/>
      <c r="K1080" s="91" t="n"/>
      <c r="L1080" s="91" t="n"/>
      <c r="M1080" s="95" t="n"/>
      <c r="N1080" s="91" t="n"/>
      <c r="O1080" s="91" t="n"/>
      <c r="P1080" s="91" t="n"/>
    </row>
    <row r="1081" ht="32" customHeight="1">
      <c r="A1081" s="92" t="n"/>
      <c r="B1081" s="92" t="n"/>
      <c r="C1081" s="92" t="n"/>
      <c r="D1081" s="92" t="n"/>
      <c r="E1081" s="92" t="n"/>
      <c r="F1081" s="96" t="n"/>
      <c r="G1081" s="96" t="n"/>
      <c r="H1081" s="92" t="n"/>
      <c r="I1081" s="92" t="n"/>
      <c r="J1081" s="92" t="n"/>
      <c r="K1081" s="92" t="n"/>
      <c r="L1081" s="92" t="n"/>
      <c r="M1081" s="97" t="n"/>
      <c r="N1081" s="92" t="n"/>
      <c r="O1081" s="92" t="n"/>
      <c r="P1081" s="92" t="n"/>
    </row>
    <row r="1082" ht="32" customHeight="1">
      <c r="A1082" s="91" t="n"/>
      <c r="B1082" s="91" t="n"/>
      <c r="C1082" s="91" t="n"/>
      <c r="D1082" s="91" t="n"/>
      <c r="E1082" s="91" t="n"/>
      <c r="F1082" s="94" t="n"/>
      <c r="G1082" s="94" t="n"/>
      <c r="H1082" s="91" t="n"/>
      <c r="I1082" s="91" t="n"/>
      <c r="J1082" s="91" t="n"/>
      <c r="K1082" s="91" t="n"/>
      <c r="L1082" s="91" t="n"/>
      <c r="M1082" s="95" t="n"/>
      <c r="N1082" s="91" t="n"/>
      <c r="O1082" s="91" t="n"/>
      <c r="P1082" s="91" t="n"/>
    </row>
    <row r="1083" ht="32" customHeight="1">
      <c r="A1083" s="92" t="n"/>
      <c r="B1083" s="92" t="n"/>
      <c r="C1083" s="92" t="n"/>
      <c r="D1083" s="92" t="n"/>
      <c r="E1083" s="92" t="n"/>
      <c r="F1083" s="96" t="n"/>
      <c r="G1083" s="96" t="n"/>
      <c r="H1083" s="92" t="n"/>
      <c r="I1083" s="92" t="n"/>
      <c r="J1083" s="92" t="n"/>
      <c r="K1083" s="92" t="n"/>
      <c r="L1083" s="92" t="n"/>
      <c r="M1083" s="97" t="n"/>
      <c r="N1083" s="92" t="n"/>
      <c r="O1083" s="92" t="n"/>
      <c r="P1083" s="92" t="n"/>
    </row>
    <row r="1084" ht="32" customHeight="1">
      <c r="A1084" s="91" t="n"/>
      <c r="B1084" s="91" t="n"/>
      <c r="C1084" s="91" t="n"/>
      <c r="D1084" s="91" t="n"/>
      <c r="E1084" s="91" t="n"/>
      <c r="F1084" s="94" t="n"/>
      <c r="G1084" s="94" t="n"/>
      <c r="H1084" s="91" t="n"/>
      <c r="I1084" s="91" t="n"/>
      <c r="J1084" s="91" t="n"/>
      <c r="K1084" s="91" t="n"/>
      <c r="L1084" s="91" t="n"/>
      <c r="M1084" s="95" t="n"/>
      <c r="N1084" s="91" t="n"/>
      <c r="O1084" s="91" t="n"/>
      <c r="P1084" s="91" t="n"/>
    </row>
    <row r="1085" ht="32" customHeight="1">
      <c r="A1085" s="92" t="n"/>
      <c r="B1085" s="92" t="n"/>
      <c r="C1085" s="92" t="n"/>
      <c r="D1085" s="92" t="n"/>
      <c r="E1085" s="92" t="n"/>
      <c r="F1085" s="96" t="n"/>
      <c r="G1085" s="96" t="n"/>
      <c r="H1085" s="92" t="n"/>
      <c r="I1085" s="92" t="n"/>
      <c r="J1085" s="92" t="n"/>
      <c r="K1085" s="92" t="n"/>
      <c r="L1085" s="92" t="n"/>
      <c r="M1085" s="97" t="n"/>
      <c r="N1085" s="92" t="n"/>
      <c r="O1085" s="92" t="n"/>
      <c r="P1085" s="92" t="n"/>
    </row>
    <row r="1086" ht="32" customHeight="1">
      <c r="A1086" s="91" t="n"/>
      <c r="B1086" s="91" t="n"/>
      <c r="C1086" s="91" t="n"/>
      <c r="D1086" s="91" t="n"/>
      <c r="E1086" s="91" t="n"/>
      <c r="F1086" s="94" t="n"/>
      <c r="G1086" s="94" t="n"/>
      <c r="H1086" s="91" t="n"/>
      <c r="I1086" s="91" t="n"/>
      <c r="J1086" s="91" t="n"/>
      <c r="K1086" s="91" t="n"/>
      <c r="L1086" s="91" t="n"/>
      <c r="M1086" s="95" t="n"/>
      <c r="N1086" s="91" t="n"/>
      <c r="O1086" s="91" t="n"/>
      <c r="P1086" s="91" t="n"/>
    </row>
    <row r="1087" ht="32" customHeight="1">
      <c r="A1087" s="92" t="n"/>
      <c r="B1087" s="92" t="n"/>
      <c r="C1087" s="92" t="n"/>
      <c r="D1087" s="92" t="n"/>
      <c r="E1087" s="92" t="n"/>
      <c r="F1087" s="96" t="n"/>
      <c r="G1087" s="96" t="n"/>
      <c r="H1087" s="92" t="n"/>
      <c r="I1087" s="92" t="n"/>
      <c r="J1087" s="92" t="n"/>
      <c r="K1087" s="92" t="n"/>
      <c r="L1087" s="92" t="n"/>
      <c r="M1087" s="97" t="n"/>
      <c r="N1087" s="92" t="n"/>
      <c r="O1087" s="92" t="n"/>
      <c r="P1087" s="92" t="n"/>
    </row>
    <row r="1088" ht="32" customHeight="1">
      <c r="A1088" s="91" t="n"/>
      <c r="B1088" s="91" t="n"/>
      <c r="C1088" s="91" t="n"/>
      <c r="D1088" s="91" t="n"/>
      <c r="E1088" s="91" t="n"/>
      <c r="F1088" s="94" t="n"/>
      <c r="G1088" s="94" t="n"/>
      <c r="H1088" s="91" t="n"/>
      <c r="I1088" s="91" t="n"/>
      <c r="J1088" s="91" t="n"/>
      <c r="K1088" s="91" t="n"/>
      <c r="L1088" s="91" t="n"/>
      <c r="M1088" s="95" t="n"/>
      <c r="N1088" s="91" t="n"/>
      <c r="O1088" s="91" t="n"/>
      <c r="P1088" s="91" t="n"/>
    </row>
    <row r="1089" ht="32" customHeight="1">
      <c r="A1089" s="92" t="n"/>
      <c r="B1089" s="92" t="n"/>
      <c r="C1089" s="92" t="n"/>
      <c r="D1089" s="92" t="n"/>
      <c r="E1089" s="92" t="n"/>
      <c r="F1089" s="96" t="n"/>
      <c r="G1089" s="96" t="n"/>
      <c r="H1089" s="92" t="n"/>
      <c r="I1089" s="92" t="n"/>
      <c r="J1089" s="92" t="n"/>
      <c r="K1089" s="92" t="n"/>
      <c r="L1089" s="92" t="n"/>
      <c r="M1089" s="97" t="n"/>
      <c r="N1089" s="92" t="n"/>
      <c r="O1089" s="92" t="n"/>
      <c r="P1089" s="92" t="n"/>
    </row>
    <row r="1090" ht="32" customHeight="1">
      <c r="A1090" s="91" t="n"/>
      <c r="B1090" s="91" t="n"/>
      <c r="C1090" s="91" t="n"/>
      <c r="D1090" s="91" t="n"/>
      <c r="E1090" s="91" t="n"/>
      <c r="F1090" s="94" t="n"/>
      <c r="G1090" s="94" t="n"/>
      <c r="H1090" s="91" t="n"/>
      <c r="I1090" s="91" t="n"/>
      <c r="J1090" s="91" t="n"/>
      <c r="K1090" s="91" t="n"/>
      <c r="L1090" s="91" t="n"/>
      <c r="M1090" s="95" t="n"/>
      <c r="N1090" s="91" t="n"/>
      <c r="O1090" s="91" t="n"/>
      <c r="P1090" s="91" t="n"/>
    </row>
    <row r="1091" ht="32" customHeight="1">
      <c r="A1091" s="92" t="n"/>
      <c r="B1091" s="92" t="n"/>
      <c r="C1091" s="92" t="n"/>
      <c r="D1091" s="92" t="n"/>
      <c r="E1091" s="92" t="n"/>
      <c r="F1091" s="96" t="n"/>
      <c r="G1091" s="96" t="n"/>
      <c r="H1091" s="92" t="n"/>
      <c r="I1091" s="92" t="n"/>
      <c r="J1091" s="92" t="n"/>
      <c r="K1091" s="92" t="n"/>
      <c r="L1091" s="92" t="n"/>
      <c r="M1091" s="97" t="n"/>
      <c r="N1091" s="92" t="n"/>
      <c r="O1091" s="92" t="n"/>
      <c r="P1091" s="92" t="n"/>
    </row>
    <row r="1092" ht="32" customHeight="1">
      <c r="A1092" s="91" t="n"/>
      <c r="B1092" s="91" t="n"/>
      <c r="C1092" s="91" t="n"/>
      <c r="D1092" s="91" t="n"/>
      <c r="E1092" s="91" t="n"/>
      <c r="F1092" s="94" t="n"/>
      <c r="G1092" s="94" t="n"/>
      <c r="H1092" s="91" t="n"/>
      <c r="I1092" s="91" t="n"/>
      <c r="J1092" s="91" t="n"/>
      <c r="K1092" s="91" t="n"/>
      <c r="L1092" s="91" t="n"/>
      <c r="M1092" s="95" t="n"/>
      <c r="N1092" s="91" t="n"/>
      <c r="O1092" s="91" t="n"/>
      <c r="P1092" s="91" t="n"/>
    </row>
    <row r="1093" ht="32" customHeight="1">
      <c r="A1093" s="92" t="n"/>
      <c r="B1093" s="92" t="n"/>
      <c r="C1093" s="92" t="n"/>
      <c r="D1093" s="92" t="n"/>
      <c r="E1093" s="92" t="n"/>
      <c r="F1093" s="96" t="n"/>
      <c r="G1093" s="96" t="n"/>
      <c r="H1093" s="92" t="n"/>
      <c r="I1093" s="92" t="n"/>
      <c r="J1093" s="92" t="n"/>
      <c r="K1093" s="92" t="n"/>
      <c r="L1093" s="92" t="n"/>
      <c r="M1093" s="97" t="n"/>
      <c r="N1093" s="92" t="n"/>
      <c r="O1093" s="92" t="n"/>
      <c r="P1093" s="92" t="n"/>
    </row>
    <row r="1094" ht="32" customHeight="1">
      <c r="A1094" s="91" t="n"/>
      <c r="B1094" s="91" t="n"/>
      <c r="C1094" s="91" t="n"/>
      <c r="D1094" s="91" t="n"/>
      <c r="E1094" s="91" t="n"/>
      <c r="F1094" s="94" t="n"/>
      <c r="G1094" s="94" t="n"/>
      <c r="H1094" s="91" t="n"/>
      <c r="I1094" s="91" t="n"/>
      <c r="J1094" s="91" t="n"/>
      <c r="K1094" s="91" t="n"/>
      <c r="L1094" s="91" t="n"/>
      <c r="M1094" s="95" t="n"/>
      <c r="N1094" s="91" t="n"/>
      <c r="O1094" s="91" t="n"/>
      <c r="P1094" s="91" t="n"/>
    </row>
    <row r="1095" ht="32" customHeight="1">
      <c r="A1095" s="92" t="n"/>
      <c r="B1095" s="92" t="n"/>
      <c r="C1095" s="92" t="n"/>
      <c r="D1095" s="92" t="n"/>
      <c r="E1095" s="92" t="n"/>
      <c r="F1095" s="96" t="n"/>
      <c r="G1095" s="96" t="n"/>
      <c r="H1095" s="92" t="n"/>
      <c r="I1095" s="92" t="n"/>
      <c r="J1095" s="92" t="n"/>
      <c r="K1095" s="92" t="n"/>
      <c r="L1095" s="92" t="n"/>
      <c r="M1095" s="97" t="n"/>
      <c r="N1095" s="92" t="n"/>
      <c r="O1095" s="92" t="n"/>
      <c r="P1095" s="92" t="n"/>
    </row>
    <row r="1096" ht="32" customHeight="1">
      <c r="A1096" s="91" t="n"/>
      <c r="B1096" s="91" t="n"/>
      <c r="C1096" s="91" t="n"/>
      <c r="D1096" s="91" t="n"/>
      <c r="E1096" s="91" t="n"/>
      <c r="F1096" s="94" t="n"/>
      <c r="G1096" s="94" t="n"/>
      <c r="H1096" s="91" t="n"/>
      <c r="I1096" s="91" t="n"/>
      <c r="J1096" s="91" t="n"/>
      <c r="K1096" s="91" t="n"/>
      <c r="L1096" s="91" t="n"/>
      <c r="M1096" s="95" t="n"/>
      <c r="N1096" s="91" t="n"/>
      <c r="O1096" s="91" t="n"/>
      <c r="P1096" s="91" t="n"/>
    </row>
    <row r="1097" ht="32" customHeight="1">
      <c r="A1097" s="92" t="n"/>
      <c r="B1097" s="92" t="n"/>
      <c r="C1097" s="92" t="n"/>
      <c r="D1097" s="92" t="n"/>
      <c r="E1097" s="92" t="n"/>
      <c r="F1097" s="96" t="n"/>
      <c r="G1097" s="96" t="n"/>
      <c r="H1097" s="92" t="n"/>
      <c r="I1097" s="92" t="n"/>
      <c r="J1097" s="92" t="n"/>
      <c r="K1097" s="92" t="n"/>
      <c r="L1097" s="92" t="n"/>
      <c r="M1097" s="97" t="n"/>
      <c r="N1097" s="92" t="n"/>
      <c r="O1097" s="92" t="n"/>
      <c r="P1097" s="92" t="n"/>
    </row>
    <row r="1098" ht="32" customHeight="1">
      <c r="A1098" s="91" t="n"/>
      <c r="B1098" s="91" t="n"/>
      <c r="C1098" s="91" t="n"/>
      <c r="D1098" s="91" t="n"/>
      <c r="E1098" s="91" t="n"/>
      <c r="F1098" s="94" t="n"/>
      <c r="G1098" s="94" t="n"/>
      <c r="H1098" s="91" t="n"/>
      <c r="I1098" s="91" t="n"/>
      <c r="J1098" s="91" t="n"/>
      <c r="K1098" s="91" t="n"/>
      <c r="L1098" s="91" t="n"/>
      <c r="M1098" s="95" t="n"/>
      <c r="N1098" s="91" t="n"/>
      <c r="O1098" s="91" t="n"/>
      <c r="P1098" s="91" t="n"/>
    </row>
    <row r="1099" ht="32" customHeight="1">
      <c r="A1099" s="92" t="n"/>
      <c r="B1099" s="92" t="n"/>
      <c r="C1099" s="92" t="n"/>
      <c r="D1099" s="92" t="n"/>
      <c r="E1099" s="92" t="n"/>
      <c r="F1099" s="96" t="n"/>
      <c r="G1099" s="96" t="n"/>
      <c r="H1099" s="92" t="n"/>
      <c r="I1099" s="92" t="n"/>
      <c r="J1099" s="92" t="n"/>
      <c r="K1099" s="92" t="n"/>
      <c r="L1099" s="92" t="n"/>
      <c r="M1099" s="97" t="n"/>
      <c r="N1099" s="92" t="n"/>
      <c r="O1099" s="92" t="n"/>
      <c r="P1099" s="92" t="n"/>
    </row>
    <row r="1100" ht="32" customHeight="1">
      <c r="A1100" s="91" t="n"/>
      <c r="B1100" s="91" t="n"/>
      <c r="C1100" s="91" t="n"/>
      <c r="D1100" s="91" t="n"/>
      <c r="E1100" s="91" t="n"/>
      <c r="F1100" s="94" t="n"/>
      <c r="G1100" s="94" t="n"/>
      <c r="H1100" s="91" t="n"/>
      <c r="I1100" s="91" t="n"/>
      <c r="J1100" s="91" t="n"/>
      <c r="K1100" s="91" t="n"/>
      <c r="L1100" s="91" t="n"/>
      <c r="M1100" s="95" t="n"/>
      <c r="N1100" s="91" t="n"/>
      <c r="O1100" s="91" t="n"/>
      <c r="P1100" s="91" t="n"/>
    </row>
    <row r="1101" ht="32" customHeight="1">
      <c r="A1101" s="92" t="n"/>
      <c r="B1101" s="92" t="n"/>
      <c r="C1101" s="92" t="n"/>
      <c r="D1101" s="92" t="n"/>
      <c r="E1101" s="92" t="n"/>
      <c r="F1101" s="96" t="n"/>
      <c r="G1101" s="96" t="n"/>
      <c r="H1101" s="92" t="n"/>
      <c r="I1101" s="92" t="n"/>
      <c r="J1101" s="92" t="n"/>
      <c r="K1101" s="92" t="n"/>
      <c r="L1101" s="92" t="n"/>
      <c r="M1101" s="97" t="n"/>
      <c r="N1101" s="92" t="n"/>
      <c r="O1101" s="92" t="n"/>
      <c r="P1101" s="92" t="n"/>
    </row>
    <row r="1102" ht="32" customHeight="1">
      <c r="A1102" s="91" t="n"/>
      <c r="B1102" s="91" t="n"/>
      <c r="C1102" s="91" t="n"/>
      <c r="D1102" s="91" t="n"/>
      <c r="E1102" s="91" t="n"/>
      <c r="F1102" s="94" t="n"/>
      <c r="G1102" s="94" t="n"/>
      <c r="H1102" s="91" t="n"/>
      <c r="I1102" s="91" t="n"/>
      <c r="J1102" s="91" t="n"/>
      <c r="K1102" s="91" t="n"/>
      <c r="L1102" s="91" t="n"/>
      <c r="M1102" s="95" t="n"/>
      <c r="N1102" s="91" t="n"/>
      <c r="O1102" s="91" t="n"/>
      <c r="P1102" s="91" t="n"/>
    </row>
    <row r="1103" ht="32" customHeight="1">
      <c r="A1103" s="92" t="n"/>
      <c r="B1103" s="92" t="n"/>
      <c r="C1103" s="92" t="n"/>
      <c r="D1103" s="92" t="n"/>
      <c r="E1103" s="92" t="n"/>
      <c r="F1103" s="96" t="n"/>
      <c r="G1103" s="96" t="n"/>
      <c r="H1103" s="92" t="n"/>
      <c r="I1103" s="92" t="n"/>
      <c r="J1103" s="92" t="n"/>
      <c r="K1103" s="92" t="n"/>
      <c r="L1103" s="92" t="n"/>
      <c r="M1103" s="97" t="n"/>
      <c r="N1103" s="92" t="n"/>
      <c r="O1103" s="92" t="n"/>
      <c r="P1103" s="92" t="n"/>
    </row>
    <row r="1104" ht="32" customHeight="1">
      <c r="A1104" s="91" t="n"/>
      <c r="B1104" s="91" t="n"/>
      <c r="C1104" s="91" t="n"/>
      <c r="D1104" s="91" t="n"/>
      <c r="E1104" s="91" t="n"/>
      <c r="F1104" s="94" t="n"/>
      <c r="G1104" s="94" t="n"/>
      <c r="H1104" s="91" t="n"/>
      <c r="I1104" s="91" t="n"/>
      <c r="J1104" s="91" t="n"/>
      <c r="K1104" s="91" t="n"/>
      <c r="L1104" s="91" t="n"/>
      <c r="M1104" s="95" t="n"/>
      <c r="N1104" s="91" t="n"/>
      <c r="O1104" s="91" t="n"/>
      <c r="P1104" s="91" t="n"/>
    </row>
    <row r="1105" ht="32" customHeight="1">
      <c r="A1105" s="92" t="n"/>
      <c r="B1105" s="92" t="n"/>
      <c r="C1105" s="92" t="n"/>
      <c r="D1105" s="92" t="n"/>
      <c r="E1105" s="92" t="n"/>
      <c r="F1105" s="96" t="n"/>
      <c r="G1105" s="96" t="n"/>
      <c r="H1105" s="92" t="n"/>
      <c r="I1105" s="92" t="n"/>
      <c r="J1105" s="92" t="n"/>
      <c r="K1105" s="92" t="n"/>
      <c r="L1105" s="92" t="n"/>
      <c r="M1105" s="97" t="n"/>
      <c r="N1105" s="92" t="n"/>
      <c r="O1105" s="92" t="n"/>
      <c r="P1105" s="92" t="n"/>
    </row>
    <row r="1106" ht="32" customHeight="1">
      <c r="A1106" s="91" t="n"/>
      <c r="B1106" s="91" t="n"/>
      <c r="C1106" s="91" t="n"/>
      <c r="D1106" s="91" t="n"/>
      <c r="E1106" s="91" t="n"/>
      <c r="F1106" s="94" t="n"/>
      <c r="G1106" s="94" t="n"/>
      <c r="H1106" s="91" t="n"/>
      <c r="I1106" s="91" t="n"/>
      <c r="J1106" s="91" t="n"/>
      <c r="K1106" s="91" t="n"/>
      <c r="L1106" s="91" t="n"/>
      <c r="M1106" s="95" t="n"/>
      <c r="N1106" s="91" t="n"/>
      <c r="O1106" s="91" t="n"/>
      <c r="P1106" s="91" t="n"/>
    </row>
    <row r="1107" ht="32" customHeight="1">
      <c r="A1107" s="92" t="n"/>
      <c r="B1107" s="92" t="n"/>
      <c r="C1107" s="92" t="n"/>
      <c r="D1107" s="92" t="n"/>
      <c r="E1107" s="92" t="n"/>
      <c r="F1107" s="96" t="n"/>
      <c r="G1107" s="96" t="n"/>
      <c r="H1107" s="92" t="n"/>
      <c r="I1107" s="92" t="n"/>
      <c r="J1107" s="92" t="n"/>
      <c r="K1107" s="92" t="n"/>
      <c r="L1107" s="92" t="n"/>
      <c r="M1107" s="97" t="n"/>
      <c r="N1107" s="92" t="n"/>
      <c r="O1107" s="92" t="n"/>
      <c r="P1107" s="92" t="n"/>
    </row>
    <row r="1108" ht="32" customHeight="1">
      <c r="A1108" s="91" t="n"/>
      <c r="B1108" s="91" t="n"/>
      <c r="C1108" s="91" t="n"/>
      <c r="D1108" s="91" t="n"/>
      <c r="E1108" s="91" t="n"/>
      <c r="F1108" s="94" t="n"/>
      <c r="G1108" s="94" t="n"/>
      <c r="H1108" s="91" t="n"/>
      <c r="I1108" s="91" t="n"/>
      <c r="J1108" s="91" t="n"/>
      <c r="K1108" s="91" t="n"/>
      <c r="L1108" s="91" t="n"/>
      <c r="M1108" s="95" t="n"/>
      <c r="N1108" s="91" t="n"/>
      <c r="O1108" s="91" t="n"/>
      <c r="P1108" s="91" t="n"/>
    </row>
    <row r="1109" ht="32" customHeight="1">
      <c r="A1109" s="92" t="n"/>
      <c r="B1109" s="92" t="n"/>
      <c r="C1109" s="92" t="n"/>
      <c r="D1109" s="92" t="n"/>
      <c r="E1109" s="92" t="n"/>
      <c r="F1109" s="96" t="n"/>
      <c r="G1109" s="96" t="n"/>
      <c r="H1109" s="92" t="n"/>
      <c r="I1109" s="92" t="n"/>
      <c r="J1109" s="92" t="n"/>
      <c r="K1109" s="92" t="n"/>
      <c r="L1109" s="92" t="n"/>
      <c r="M1109" s="97" t="n"/>
      <c r="N1109" s="92" t="n"/>
      <c r="O1109" s="92" t="n"/>
      <c r="P1109" s="92" t="n"/>
    </row>
    <row r="1110" ht="32" customHeight="1">
      <c r="A1110" s="91" t="n"/>
      <c r="B1110" s="91" t="n"/>
      <c r="C1110" s="91" t="n"/>
      <c r="D1110" s="91" t="n"/>
      <c r="E1110" s="91" t="n"/>
      <c r="F1110" s="94" t="n"/>
      <c r="G1110" s="94" t="n"/>
      <c r="H1110" s="91" t="n"/>
      <c r="I1110" s="91" t="n"/>
      <c r="J1110" s="91" t="n"/>
      <c r="K1110" s="91" t="n"/>
      <c r="L1110" s="91" t="n"/>
      <c r="M1110" s="95" t="n"/>
      <c r="N1110" s="91" t="n"/>
      <c r="O1110" s="91" t="n"/>
      <c r="P1110" s="91" t="n"/>
    </row>
    <row r="1111" ht="32" customHeight="1">
      <c r="A1111" s="92" t="n"/>
      <c r="B1111" s="92" t="n"/>
      <c r="C1111" s="92" t="n"/>
      <c r="D1111" s="92" t="n"/>
      <c r="E1111" s="92" t="n"/>
      <c r="F1111" s="96" t="n"/>
      <c r="G1111" s="96" t="n"/>
      <c r="H1111" s="92" t="n"/>
      <c r="I1111" s="92" t="n"/>
      <c r="J1111" s="92" t="n"/>
      <c r="K1111" s="92" t="n"/>
      <c r="L1111" s="92" t="n"/>
      <c r="M1111" s="97" t="n"/>
      <c r="N1111" s="92" t="n"/>
      <c r="O1111" s="92" t="n"/>
      <c r="P1111" s="92" t="n"/>
    </row>
    <row r="1112" ht="32" customHeight="1">
      <c r="A1112" s="91" t="n"/>
      <c r="B1112" s="91" t="n"/>
      <c r="C1112" s="91" t="n"/>
      <c r="D1112" s="91" t="n"/>
      <c r="E1112" s="91" t="n"/>
      <c r="F1112" s="94" t="n"/>
      <c r="G1112" s="94" t="n"/>
      <c r="H1112" s="91" t="n"/>
      <c r="I1112" s="91" t="n"/>
      <c r="J1112" s="91" t="n"/>
      <c r="K1112" s="91" t="n"/>
      <c r="L1112" s="91" t="n"/>
      <c r="M1112" s="95" t="n"/>
      <c r="N1112" s="91" t="n"/>
      <c r="O1112" s="91" t="n"/>
      <c r="P1112" s="91" t="n"/>
    </row>
    <row r="1113" ht="32" customHeight="1">
      <c r="A1113" s="92" t="n"/>
      <c r="B1113" s="92" t="n"/>
      <c r="C1113" s="92" t="n"/>
      <c r="D1113" s="92" t="n"/>
      <c r="E1113" s="92" t="n"/>
      <c r="F1113" s="96" t="n"/>
      <c r="G1113" s="96" t="n"/>
      <c r="H1113" s="92" t="n"/>
      <c r="I1113" s="92" t="n"/>
      <c r="J1113" s="92" t="n"/>
      <c r="K1113" s="92" t="n"/>
      <c r="L1113" s="92" t="n"/>
      <c r="M1113" s="97" t="n"/>
      <c r="N1113" s="92" t="n"/>
      <c r="O1113" s="92" t="n"/>
      <c r="P1113" s="92" t="n"/>
    </row>
    <row r="1114" ht="32" customHeight="1">
      <c r="A1114" s="91" t="n"/>
      <c r="B1114" s="91" t="n"/>
      <c r="C1114" s="91" t="n"/>
      <c r="D1114" s="91" t="n"/>
      <c r="E1114" s="91" t="n"/>
      <c r="F1114" s="94" t="n"/>
      <c r="G1114" s="94" t="n"/>
      <c r="H1114" s="91" t="n"/>
      <c r="I1114" s="91" t="n"/>
      <c r="J1114" s="91" t="n"/>
      <c r="K1114" s="91" t="n"/>
      <c r="L1114" s="91" t="n"/>
      <c r="M1114" s="95" t="n"/>
      <c r="N1114" s="91" t="n"/>
      <c r="O1114" s="91" t="n"/>
      <c r="P1114" s="91" t="n"/>
    </row>
    <row r="1115" ht="32" customHeight="1">
      <c r="A1115" s="92" t="n"/>
      <c r="B1115" s="92" t="n"/>
      <c r="C1115" s="92" t="n"/>
      <c r="D1115" s="92" t="n"/>
      <c r="E1115" s="92" t="n"/>
      <c r="F1115" s="96" t="n"/>
      <c r="G1115" s="96" t="n"/>
      <c r="H1115" s="92" t="n"/>
      <c r="I1115" s="92" t="n"/>
      <c r="J1115" s="92" t="n"/>
      <c r="K1115" s="92" t="n"/>
      <c r="L1115" s="92" t="n"/>
      <c r="M1115" s="97" t="n"/>
      <c r="N1115" s="92" t="n"/>
      <c r="O1115" s="92" t="n"/>
      <c r="P1115" s="92" t="n"/>
    </row>
    <row r="1116" ht="32" customHeight="1">
      <c r="A1116" s="91" t="n"/>
      <c r="B1116" s="91" t="n"/>
      <c r="C1116" s="91" t="n"/>
      <c r="D1116" s="91" t="n"/>
      <c r="E1116" s="91" t="n"/>
      <c r="F1116" s="94" t="n"/>
      <c r="G1116" s="94" t="n"/>
      <c r="H1116" s="91" t="n"/>
      <c r="I1116" s="91" t="n"/>
      <c r="J1116" s="91" t="n"/>
      <c r="K1116" s="91" t="n"/>
      <c r="L1116" s="91" t="n"/>
      <c r="M1116" s="95" t="n"/>
      <c r="N1116" s="91" t="n"/>
      <c r="O1116" s="91" t="n"/>
      <c r="P1116" s="91" t="n"/>
    </row>
    <row r="1117" ht="32" customHeight="1">
      <c r="A1117" s="92" t="n"/>
      <c r="B1117" s="92" t="n"/>
      <c r="C1117" s="92" t="n"/>
      <c r="D1117" s="92" t="n"/>
      <c r="E1117" s="92" t="n"/>
      <c r="F1117" s="96" t="n"/>
      <c r="G1117" s="96" t="n"/>
      <c r="H1117" s="92" t="n"/>
      <c r="I1117" s="92" t="n"/>
      <c r="J1117" s="92" t="n"/>
      <c r="K1117" s="92" t="n"/>
      <c r="L1117" s="92" t="n"/>
      <c r="M1117" s="97" t="n"/>
      <c r="N1117" s="92" t="n"/>
      <c r="O1117" s="92" t="n"/>
      <c r="P1117" s="92" t="n"/>
    </row>
    <row r="1118" ht="32" customHeight="1">
      <c r="A1118" s="91" t="n"/>
      <c r="B1118" s="91" t="n"/>
      <c r="C1118" s="91" t="n"/>
      <c r="D1118" s="91" t="n"/>
      <c r="E1118" s="91" t="n"/>
      <c r="F1118" s="94" t="n"/>
      <c r="G1118" s="94" t="n"/>
      <c r="H1118" s="91" t="n"/>
      <c r="I1118" s="91" t="n"/>
      <c r="J1118" s="91" t="n"/>
      <c r="K1118" s="91" t="n"/>
      <c r="L1118" s="91" t="n"/>
      <c r="M1118" s="95" t="n"/>
      <c r="N1118" s="91" t="n"/>
      <c r="O1118" s="91" t="n"/>
      <c r="P1118" s="91" t="n"/>
    </row>
    <row r="1119" ht="32" customHeight="1">
      <c r="A1119" s="92" t="n"/>
      <c r="B1119" s="92" t="n"/>
      <c r="C1119" s="92" t="n"/>
      <c r="D1119" s="92" t="n"/>
      <c r="E1119" s="92" t="n"/>
      <c r="F1119" s="96" t="n"/>
      <c r="G1119" s="96" t="n"/>
      <c r="H1119" s="92" t="n"/>
      <c r="I1119" s="92" t="n"/>
      <c r="J1119" s="92" t="n"/>
      <c r="K1119" s="92" t="n"/>
      <c r="L1119" s="92" t="n"/>
      <c r="M1119" s="97" t="n"/>
      <c r="N1119" s="92" t="n"/>
      <c r="O1119" s="92" t="n"/>
      <c r="P1119" s="92" t="n"/>
    </row>
    <row r="1120" ht="32" customHeight="1">
      <c r="A1120" s="91" t="n"/>
      <c r="B1120" s="91" t="n"/>
      <c r="C1120" s="91" t="n"/>
      <c r="D1120" s="91" t="n"/>
      <c r="E1120" s="91" t="n"/>
      <c r="F1120" s="94" t="n"/>
      <c r="G1120" s="94" t="n"/>
      <c r="H1120" s="91" t="n"/>
      <c r="I1120" s="91" t="n"/>
      <c r="J1120" s="91" t="n"/>
      <c r="K1120" s="91" t="n"/>
      <c r="L1120" s="91" t="n"/>
      <c r="M1120" s="95" t="n"/>
      <c r="N1120" s="91" t="n"/>
      <c r="O1120" s="91" t="n"/>
      <c r="P1120" s="91" t="n"/>
    </row>
    <row r="1121" ht="32" customHeight="1">
      <c r="A1121" s="92" t="n"/>
      <c r="B1121" s="92" t="n"/>
      <c r="C1121" s="92" t="n"/>
      <c r="D1121" s="92" t="n"/>
      <c r="E1121" s="92" t="n"/>
      <c r="F1121" s="96" t="n"/>
      <c r="G1121" s="96" t="n"/>
      <c r="H1121" s="92" t="n"/>
      <c r="I1121" s="92" t="n"/>
      <c r="J1121" s="92" t="n"/>
      <c r="K1121" s="92" t="n"/>
      <c r="L1121" s="92" t="n"/>
      <c r="M1121" s="97" t="n"/>
      <c r="N1121" s="92" t="n"/>
      <c r="O1121" s="92" t="n"/>
      <c r="P1121" s="92" t="n"/>
    </row>
    <row r="1122" ht="32" customHeight="1">
      <c r="A1122" s="91" t="n"/>
      <c r="B1122" s="91" t="n"/>
      <c r="C1122" s="91" t="n"/>
      <c r="D1122" s="91" t="n"/>
      <c r="E1122" s="91" t="n"/>
      <c r="F1122" s="94" t="n"/>
      <c r="G1122" s="94" t="n"/>
      <c r="H1122" s="91" t="n"/>
      <c r="I1122" s="91" t="n"/>
      <c r="J1122" s="91" t="n"/>
      <c r="K1122" s="91" t="n"/>
      <c r="L1122" s="91" t="n"/>
      <c r="M1122" s="95" t="n"/>
      <c r="N1122" s="91" t="n"/>
      <c r="O1122" s="91" t="n"/>
      <c r="P1122" s="91" t="n"/>
    </row>
    <row r="1123" ht="32" customHeight="1">
      <c r="A1123" s="92" t="n"/>
      <c r="B1123" s="92" t="n"/>
      <c r="C1123" s="92" t="n"/>
      <c r="D1123" s="92" t="n"/>
      <c r="E1123" s="92" t="n"/>
      <c r="F1123" s="96" t="n"/>
      <c r="G1123" s="96" t="n"/>
      <c r="H1123" s="92" t="n"/>
      <c r="I1123" s="92" t="n"/>
      <c r="J1123" s="92" t="n"/>
      <c r="K1123" s="92" t="n"/>
      <c r="L1123" s="92" t="n"/>
      <c r="M1123" s="97" t="n"/>
      <c r="N1123" s="92" t="n"/>
      <c r="O1123" s="92" t="n"/>
      <c r="P1123" s="92" t="n"/>
    </row>
    <row r="1124" ht="32" customHeight="1">
      <c r="A1124" s="91" t="n"/>
      <c r="B1124" s="91" t="n"/>
      <c r="C1124" s="91" t="n"/>
      <c r="D1124" s="91" t="n"/>
      <c r="E1124" s="91" t="n"/>
      <c r="F1124" s="94" t="n"/>
      <c r="G1124" s="94" t="n"/>
      <c r="H1124" s="91" t="n"/>
      <c r="I1124" s="91" t="n"/>
      <c r="J1124" s="91" t="n"/>
      <c r="K1124" s="91" t="n"/>
      <c r="L1124" s="91" t="n"/>
      <c r="M1124" s="95" t="n"/>
      <c r="N1124" s="91" t="n"/>
      <c r="O1124" s="91" t="n"/>
      <c r="P1124" s="91" t="n"/>
    </row>
    <row r="1125" ht="32" customHeight="1">
      <c r="A1125" s="92" t="n"/>
      <c r="B1125" s="92" t="n"/>
      <c r="C1125" s="92" t="n"/>
      <c r="D1125" s="92" t="n"/>
      <c r="E1125" s="92" t="n"/>
      <c r="F1125" s="96" t="n"/>
      <c r="G1125" s="96" t="n"/>
      <c r="H1125" s="92" t="n"/>
      <c r="I1125" s="92" t="n"/>
      <c r="J1125" s="92" t="n"/>
      <c r="K1125" s="92" t="n"/>
      <c r="L1125" s="92" t="n"/>
      <c r="M1125" s="97" t="n"/>
      <c r="N1125" s="92" t="n"/>
      <c r="O1125" s="92" t="n"/>
      <c r="P1125" s="92" t="n"/>
    </row>
    <row r="1126" ht="32" customHeight="1">
      <c r="A1126" s="91" t="n"/>
      <c r="B1126" s="91" t="n"/>
      <c r="C1126" s="91" t="n"/>
      <c r="D1126" s="91" t="n"/>
      <c r="E1126" s="91" t="n"/>
      <c r="F1126" s="94" t="n"/>
      <c r="G1126" s="94" t="n"/>
      <c r="H1126" s="91" t="n"/>
      <c r="I1126" s="91" t="n"/>
      <c r="J1126" s="91" t="n"/>
      <c r="K1126" s="91" t="n"/>
      <c r="L1126" s="91" t="n"/>
      <c r="M1126" s="95" t="n"/>
      <c r="N1126" s="91" t="n"/>
      <c r="O1126" s="91" t="n"/>
      <c r="P1126" s="91" t="n"/>
    </row>
    <row r="1127" ht="32" customHeight="1">
      <c r="A1127" s="92" t="n"/>
      <c r="B1127" s="92" t="n"/>
      <c r="C1127" s="92" t="n"/>
      <c r="D1127" s="92" t="n"/>
      <c r="E1127" s="92" t="n"/>
      <c r="F1127" s="96" t="n"/>
      <c r="G1127" s="96" t="n"/>
      <c r="H1127" s="92" t="n"/>
      <c r="I1127" s="92" t="n"/>
      <c r="J1127" s="92" t="n"/>
      <c r="K1127" s="92" t="n"/>
      <c r="L1127" s="92" t="n"/>
      <c r="M1127" s="97" t="n"/>
      <c r="N1127" s="92" t="n"/>
      <c r="O1127" s="92" t="n"/>
      <c r="P1127" s="92" t="n"/>
    </row>
    <row r="1128" ht="32" customHeight="1">
      <c r="A1128" s="91" t="n"/>
      <c r="B1128" s="91" t="n"/>
      <c r="C1128" s="91" t="n"/>
      <c r="D1128" s="91" t="n"/>
      <c r="E1128" s="91" t="n"/>
      <c r="F1128" s="94" t="n"/>
      <c r="G1128" s="94" t="n"/>
      <c r="H1128" s="91" t="n"/>
      <c r="I1128" s="91" t="n"/>
      <c r="J1128" s="91" t="n"/>
      <c r="K1128" s="91" t="n"/>
      <c r="L1128" s="91" t="n"/>
      <c r="M1128" s="95" t="n"/>
      <c r="N1128" s="91" t="n"/>
      <c r="O1128" s="91" t="n"/>
      <c r="P1128" s="91" t="n"/>
    </row>
    <row r="1129" ht="32" customHeight="1">
      <c r="A1129" s="92" t="n"/>
      <c r="B1129" s="92" t="n"/>
      <c r="C1129" s="92" t="n"/>
      <c r="D1129" s="92" t="n"/>
      <c r="E1129" s="92" t="n"/>
      <c r="F1129" s="96" t="n"/>
      <c r="G1129" s="96" t="n"/>
      <c r="H1129" s="92" t="n"/>
      <c r="I1129" s="92" t="n"/>
      <c r="J1129" s="92" t="n"/>
      <c r="K1129" s="92" t="n"/>
      <c r="L1129" s="92" t="n"/>
      <c r="M1129" s="97" t="n"/>
      <c r="N1129" s="92" t="n"/>
      <c r="O1129" s="92" t="n"/>
      <c r="P1129" s="92" t="n"/>
    </row>
    <row r="1130" ht="32" customHeight="1">
      <c r="A1130" s="91" t="n"/>
      <c r="B1130" s="91" t="n"/>
      <c r="C1130" s="91" t="n"/>
      <c r="D1130" s="91" t="n"/>
      <c r="E1130" s="91" t="n"/>
      <c r="F1130" s="94" t="n"/>
      <c r="G1130" s="94" t="n"/>
      <c r="H1130" s="91" t="n"/>
      <c r="I1130" s="91" t="n"/>
      <c r="J1130" s="91" t="n"/>
      <c r="K1130" s="91" t="n"/>
      <c r="L1130" s="91" t="n"/>
      <c r="M1130" s="95" t="n"/>
      <c r="N1130" s="91" t="n"/>
      <c r="O1130" s="91" t="n"/>
      <c r="P1130" s="91" t="n"/>
    </row>
    <row r="1131" ht="32" customHeight="1">
      <c r="A1131" s="92" t="n"/>
      <c r="B1131" s="92" t="n"/>
      <c r="C1131" s="92" t="n"/>
      <c r="D1131" s="92" t="n"/>
      <c r="E1131" s="92" t="n"/>
      <c r="F1131" s="96" t="n"/>
      <c r="G1131" s="96" t="n"/>
      <c r="H1131" s="92" t="n"/>
      <c r="I1131" s="92" t="n"/>
      <c r="J1131" s="92" t="n"/>
      <c r="K1131" s="92" t="n"/>
      <c r="L1131" s="92" t="n"/>
      <c r="M1131" s="97" t="n"/>
      <c r="N1131" s="92" t="n"/>
      <c r="O1131" s="92" t="n"/>
      <c r="P1131" s="92" t="n"/>
    </row>
    <row r="1132" ht="32" customHeight="1">
      <c r="A1132" s="91" t="n"/>
      <c r="B1132" s="91" t="n"/>
      <c r="C1132" s="91" t="n"/>
      <c r="D1132" s="91" t="n"/>
      <c r="E1132" s="91" t="n"/>
      <c r="F1132" s="94" t="n"/>
      <c r="G1132" s="94" t="n"/>
      <c r="H1132" s="91" t="n"/>
      <c r="I1132" s="91" t="n"/>
      <c r="J1132" s="91" t="n"/>
      <c r="K1132" s="91" t="n"/>
      <c r="L1132" s="91" t="n"/>
      <c r="M1132" s="95" t="n"/>
      <c r="N1132" s="91" t="n"/>
      <c r="O1132" s="91" t="n"/>
      <c r="P1132" s="91" t="n"/>
    </row>
    <row r="1133" ht="32" customHeight="1">
      <c r="A1133" s="92" t="n"/>
      <c r="B1133" s="92" t="n"/>
      <c r="C1133" s="92" t="n"/>
      <c r="D1133" s="92" t="n"/>
      <c r="E1133" s="92" t="n"/>
      <c r="F1133" s="96" t="n"/>
      <c r="G1133" s="96" t="n"/>
      <c r="H1133" s="92" t="n"/>
      <c r="I1133" s="92" t="n"/>
      <c r="J1133" s="92" t="n"/>
      <c r="K1133" s="92" t="n"/>
      <c r="L1133" s="92" t="n"/>
      <c r="M1133" s="97" t="n"/>
      <c r="N1133" s="92" t="n"/>
      <c r="O1133" s="92" t="n"/>
      <c r="P1133" s="92" t="n"/>
    </row>
    <row r="1134" ht="32" customHeight="1">
      <c r="A1134" s="91" t="n"/>
      <c r="B1134" s="91" t="n"/>
      <c r="C1134" s="91" t="n"/>
      <c r="D1134" s="91" t="n"/>
      <c r="E1134" s="91" t="n"/>
      <c r="F1134" s="94" t="n"/>
      <c r="G1134" s="94" t="n"/>
      <c r="H1134" s="91" t="n"/>
      <c r="I1134" s="91" t="n"/>
      <c r="J1134" s="91" t="n"/>
      <c r="K1134" s="91" t="n"/>
      <c r="L1134" s="91" t="n"/>
      <c r="M1134" s="95" t="n"/>
      <c r="N1134" s="91" t="n"/>
      <c r="O1134" s="91" t="n"/>
      <c r="P1134" s="91" t="n"/>
    </row>
    <row r="1135" ht="32" customHeight="1">
      <c r="A1135" s="92" t="n"/>
      <c r="B1135" s="92" t="n"/>
      <c r="C1135" s="92" t="n"/>
      <c r="D1135" s="92" t="n"/>
      <c r="E1135" s="92" t="n"/>
      <c r="F1135" s="96" t="n"/>
      <c r="G1135" s="96" t="n"/>
      <c r="H1135" s="92" t="n"/>
      <c r="I1135" s="92" t="n"/>
      <c r="J1135" s="92" t="n"/>
      <c r="K1135" s="92" t="n"/>
      <c r="L1135" s="92" t="n"/>
      <c r="M1135" s="97" t="n"/>
      <c r="N1135" s="92" t="n"/>
      <c r="O1135" s="92" t="n"/>
      <c r="P1135" s="92" t="n"/>
    </row>
    <row r="1136" ht="32" customHeight="1">
      <c r="A1136" s="91" t="n"/>
      <c r="B1136" s="91" t="n"/>
      <c r="C1136" s="91" t="n"/>
      <c r="D1136" s="91" t="n"/>
      <c r="E1136" s="91" t="n"/>
      <c r="F1136" s="94" t="n"/>
      <c r="G1136" s="94" t="n"/>
      <c r="H1136" s="91" t="n"/>
      <c r="I1136" s="91" t="n"/>
      <c r="J1136" s="91" t="n"/>
      <c r="K1136" s="91" t="n"/>
      <c r="L1136" s="91" t="n"/>
      <c r="M1136" s="95" t="n"/>
      <c r="N1136" s="91" t="n"/>
      <c r="O1136" s="91" t="n"/>
      <c r="P1136" s="91" t="n"/>
    </row>
    <row r="1137" ht="32" customHeight="1">
      <c r="A1137" s="92" t="n"/>
      <c r="B1137" s="92" t="n"/>
      <c r="C1137" s="92" t="n"/>
      <c r="D1137" s="92" t="n"/>
      <c r="E1137" s="92" t="n"/>
      <c r="F1137" s="96" t="n"/>
      <c r="G1137" s="96" t="n"/>
      <c r="H1137" s="92" t="n"/>
      <c r="I1137" s="92" t="n"/>
      <c r="J1137" s="92" t="n"/>
      <c r="K1137" s="92" t="n"/>
      <c r="L1137" s="92" t="n"/>
      <c r="M1137" s="97" t="n"/>
      <c r="N1137" s="92" t="n"/>
      <c r="O1137" s="92" t="n"/>
      <c r="P1137" s="92" t="n"/>
    </row>
    <row r="1138" ht="32" customHeight="1">
      <c r="A1138" s="91" t="n"/>
      <c r="B1138" s="91" t="n"/>
      <c r="C1138" s="91" t="n"/>
      <c r="D1138" s="91" t="n"/>
      <c r="E1138" s="91" t="n"/>
      <c r="F1138" s="94" t="n"/>
      <c r="G1138" s="94" t="n"/>
      <c r="H1138" s="91" t="n"/>
      <c r="I1138" s="91" t="n"/>
      <c r="J1138" s="91" t="n"/>
      <c r="K1138" s="91" t="n"/>
      <c r="L1138" s="91" t="n"/>
      <c r="M1138" s="95" t="n"/>
      <c r="N1138" s="91" t="n"/>
      <c r="O1138" s="91" t="n"/>
      <c r="P1138" s="91" t="n"/>
    </row>
    <row r="1139" ht="32" customHeight="1">
      <c r="A1139" s="92" t="n"/>
      <c r="B1139" s="92" t="n"/>
      <c r="C1139" s="92" t="n"/>
      <c r="D1139" s="92" t="n"/>
      <c r="E1139" s="92" t="n"/>
      <c r="F1139" s="96" t="n"/>
      <c r="G1139" s="96" t="n"/>
      <c r="H1139" s="92" t="n"/>
      <c r="I1139" s="92" t="n"/>
      <c r="J1139" s="92" t="n"/>
      <c r="K1139" s="92" t="n"/>
      <c r="L1139" s="92" t="n"/>
      <c r="M1139" s="97" t="n"/>
      <c r="N1139" s="92" t="n"/>
      <c r="O1139" s="92" t="n"/>
      <c r="P1139" s="92" t="n"/>
    </row>
    <row r="1140" ht="32" customHeight="1">
      <c r="A1140" s="91" t="n"/>
      <c r="B1140" s="91" t="n"/>
      <c r="C1140" s="91" t="n"/>
      <c r="D1140" s="91" t="n"/>
      <c r="E1140" s="91" t="n"/>
      <c r="F1140" s="94" t="n"/>
      <c r="G1140" s="94" t="n"/>
      <c r="H1140" s="91" t="n"/>
      <c r="I1140" s="91" t="n"/>
      <c r="J1140" s="91" t="n"/>
      <c r="K1140" s="91" t="n"/>
      <c r="L1140" s="91" t="n"/>
      <c r="M1140" s="95" t="n"/>
      <c r="N1140" s="91" t="n"/>
      <c r="O1140" s="91" t="n"/>
      <c r="P1140" s="91" t="n"/>
    </row>
    <row r="1141" ht="32" customHeight="1">
      <c r="A1141" s="92" t="n"/>
      <c r="B1141" s="92" t="n"/>
      <c r="C1141" s="92" t="n"/>
      <c r="D1141" s="92" t="n"/>
      <c r="E1141" s="92" t="n"/>
      <c r="F1141" s="96" t="n"/>
      <c r="G1141" s="96" t="n"/>
      <c r="H1141" s="92" t="n"/>
      <c r="I1141" s="92" t="n"/>
      <c r="J1141" s="92" t="n"/>
      <c r="K1141" s="92" t="n"/>
      <c r="L1141" s="92" t="n"/>
      <c r="M1141" s="97" t="n"/>
      <c r="N1141" s="92" t="n"/>
      <c r="O1141" s="92" t="n"/>
      <c r="P1141" s="92" t="n"/>
    </row>
    <row r="1142" ht="32" customHeight="1">
      <c r="A1142" s="91" t="n"/>
      <c r="B1142" s="91" t="n"/>
      <c r="C1142" s="91" t="n"/>
      <c r="D1142" s="91" t="n"/>
      <c r="E1142" s="91" t="n"/>
      <c r="F1142" s="94" t="n"/>
      <c r="G1142" s="94" t="n"/>
      <c r="H1142" s="91" t="n"/>
      <c r="I1142" s="91" t="n"/>
      <c r="J1142" s="91" t="n"/>
      <c r="K1142" s="91" t="n"/>
      <c r="L1142" s="91" t="n"/>
      <c r="M1142" s="95" t="n"/>
      <c r="N1142" s="91" t="n"/>
      <c r="O1142" s="91" t="n"/>
      <c r="P1142" s="91" t="n"/>
    </row>
    <row r="1143" ht="32" customHeight="1">
      <c r="A1143" s="92" t="n"/>
      <c r="B1143" s="92" t="n"/>
      <c r="C1143" s="92" t="n"/>
      <c r="D1143" s="92" t="n"/>
      <c r="E1143" s="92" t="n"/>
      <c r="F1143" s="96" t="n"/>
      <c r="G1143" s="96" t="n"/>
      <c r="H1143" s="92" t="n"/>
      <c r="I1143" s="92" t="n"/>
      <c r="J1143" s="92" t="n"/>
      <c r="K1143" s="92" t="n"/>
      <c r="L1143" s="92" t="n"/>
      <c r="M1143" s="97" t="n"/>
      <c r="N1143" s="92" t="n"/>
      <c r="O1143" s="92" t="n"/>
      <c r="P1143" s="92" t="n"/>
    </row>
    <row r="1144" ht="32" customHeight="1">
      <c r="A1144" s="91" t="n"/>
      <c r="B1144" s="91" t="n"/>
      <c r="C1144" s="91" t="n"/>
      <c r="D1144" s="91" t="n"/>
      <c r="E1144" s="91" t="n"/>
      <c r="F1144" s="94" t="n"/>
      <c r="G1144" s="94" t="n"/>
      <c r="H1144" s="91" t="n"/>
      <c r="I1144" s="91" t="n"/>
      <c r="J1144" s="91" t="n"/>
      <c r="K1144" s="91" t="n"/>
      <c r="L1144" s="91" t="n"/>
      <c r="M1144" s="95" t="n"/>
      <c r="N1144" s="91" t="n"/>
      <c r="O1144" s="91" t="n"/>
      <c r="P1144" s="91" t="n"/>
    </row>
    <row r="1145" ht="32" customHeight="1">
      <c r="A1145" s="92" t="n"/>
      <c r="B1145" s="92" t="n"/>
      <c r="C1145" s="92" t="n"/>
      <c r="D1145" s="92" t="n"/>
      <c r="E1145" s="92" t="n"/>
      <c r="F1145" s="96" t="n"/>
      <c r="G1145" s="96" t="n"/>
      <c r="H1145" s="92" t="n"/>
      <c r="I1145" s="92" t="n"/>
      <c r="J1145" s="92" t="n"/>
      <c r="K1145" s="92" t="n"/>
      <c r="L1145" s="92" t="n"/>
      <c r="M1145" s="97" t="n"/>
      <c r="N1145" s="92" t="n"/>
      <c r="O1145" s="92" t="n"/>
      <c r="P1145" s="92" t="n"/>
    </row>
    <row r="1146" ht="32" customHeight="1">
      <c r="A1146" s="91" t="n"/>
      <c r="B1146" s="91" t="n"/>
      <c r="C1146" s="91" t="n"/>
      <c r="D1146" s="91" t="n"/>
      <c r="E1146" s="91" t="n"/>
      <c r="F1146" s="94" t="n"/>
      <c r="G1146" s="94" t="n"/>
      <c r="H1146" s="91" t="n"/>
      <c r="I1146" s="91" t="n"/>
      <c r="J1146" s="91" t="n"/>
      <c r="K1146" s="91" t="n"/>
      <c r="L1146" s="91" t="n"/>
      <c r="M1146" s="95" t="n"/>
      <c r="N1146" s="91" t="n"/>
      <c r="O1146" s="91" t="n"/>
      <c r="P1146" s="91" t="n"/>
    </row>
    <row r="1147" ht="32" customHeight="1">
      <c r="A1147" s="92" t="n"/>
      <c r="B1147" s="92" t="n"/>
      <c r="C1147" s="92" t="n"/>
      <c r="D1147" s="92" t="n"/>
      <c r="E1147" s="92" t="n"/>
      <c r="F1147" s="96" t="n"/>
      <c r="G1147" s="96" t="n"/>
      <c r="H1147" s="92" t="n"/>
      <c r="I1147" s="92" t="n"/>
      <c r="J1147" s="92" t="n"/>
      <c r="K1147" s="92" t="n"/>
      <c r="L1147" s="92" t="n"/>
      <c r="M1147" s="97" t="n"/>
      <c r="N1147" s="92" t="n"/>
      <c r="O1147" s="92" t="n"/>
      <c r="P1147" s="92" t="n"/>
    </row>
    <row r="1148" ht="32" customHeight="1">
      <c r="A1148" s="91" t="n"/>
      <c r="B1148" s="91" t="n"/>
      <c r="C1148" s="91" t="n"/>
      <c r="D1148" s="91" t="n"/>
      <c r="E1148" s="91" t="n"/>
      <c r="F1148" s="94" t="n"/>
      <c r="G1148" s="94" t="n"/>
      <c r="H1148" s="91" t="n"/>
      <c r="I1148" s="91" t="n"/>
      <c r="J1148" s="91" t="n"/>
      <c r="K1148" s="91" t="n"/>
      <c r="L1148" s="91" t="n"/>
      <c r="M1148" s="95" t="n"/>
      <c r="N1148" s="91" t="n"/>
      <c r="O1148" s="91" t="n"/>
      <c r="P1148" s="91" t="n"/>
    </row>
    <row r="1149" ht="32" customHeight="1">
      <c r="A1149" s="92" t="n"/>
      <c r="B1149" s="92" t="n"/>
      <c r="C1149" s="92" t="n"/>
      <c r="D1149" s="92" t="n"/>
      <c r="E1149" s="92" t="n"/>
      <c r="F1149" s="96" t="n"/>
      <c r="G1149" s="96" t="n"/>
      <c r="H1149" s="92" t="n"/>
      <c r="I1149" s="92" t="n"/>
      <c r="J1149" s="92" t="n"/>
      <c r="K1149" s="92" t="n"/>
      <c r="L1149" s="92" t="n"/>
      <c r="M1149" s="97" t="n"/>
      <c r="N1149" s="92" t="n"/>
      <c r="O1149" s="92" t="n"/>
      <c r="P1149" s="92" t="n"/>
    </row>
    <row r="1150" ht="32" customHeight="1">
      <c r="A1150" s="91" t="n"/>
      <c r="B1150" s="91" t="n"/>
      <c r="C1150" s="91" t="n"/>
      <c r="D1150" s="91" t="n"/>
      <c r="E1150" s="91" t="n"/>
      <c r="F1150" s="94" t="n"/>
      <c r="G1150" s="94" t="n"/>
      <c r="H1150" s="91" t="n"/>
      <c r="I1150" s="91" t="n"/>
      <c r="J1150" s="91" t="n"/>
      <c r="K1150" s="91" t="n"/>
      <c r="L1150" s="91" t="n"/>
      <c r="M1150" s="95" t="n"/>
      <c r="N1150" s="91" t="n"/>
      <c r="O1150" s="91" t="n"/>
      <c r="P1150" s="91" t="n"/>
    </row>
    <row r="1151" ht="32" customHeight="1">
      <c r="A1151" s="92" t="n"/>
      <c r="B1151" s="92" t="n"/>
      <c r="C1151" s="92" t="n"/>
      <c r="D1151" s="92" t="n"/>
      <c r="E1151" s="92" t="n"/>
      <c r="F1151" s="96" t="n"/>
      <c r="G1151" s="96" t="n"/>
      <c r="H1151" s="92" t="n"/>
      <c r="I1151" s="92" t="n"/>
      <c r="J1151" s="92" t="n"/>
      <c r="K1151" s="92" t="n"/>
      <c r="L1151" s="92" t="n"/>
      <c r="M1151" s="97" t="n"/>
      <c r="N1151" s="92" t="n"/>
      <c r="O1151" s="92" t="n"/>
      <c r="P1151" s="92" t="n"/>
    </row>
    <row r="1152" ht="32" customHeight="1">
      <c r="A1152" s="91" t="n"/>
      <c r="B1152" s="91" t="n"/>
      <c r="C1152" s="91" t="n"/>
      <c r="D1152" s="91" t="n"/>
      <c r="E1152" s="91" t="n"/>
      <c r="F1152" s="94" t="n"/>
      <c r="G1152" s="94" t="n"/>
      <c r="H1152" s="91" t="n"/>
      <c r="I1152" s="91" t="n"/>
      <c r="J1152" s="91" t="n"/>
      <c r="K1152" s="91" t="n"/>
      <c r="L1152" s="91" t="n"/>
      <c r="M1152" s="95" t="n"/>
      <c r="N1152" s="91" t="n"/>
      <c r="O1152" s="91" t="n"/>
      <c r="P1152" s="91" t="n"/>
    </row>
    <row r="1153" ht="32" customHeight="1">
      <c r="A1153" s="92" t="n"/>
      <c r="B1153" s="92" t="n"/>
      <c r="C1153" s="92" t="n"/>
      <c r="D1153" s="92" t="n"/>
      <c r="E1153" s="92" t="n"/>
      <c r="F1153" s="96" t="n"/>
      <c r="G1153" s="96" t="n"/>
      <c r="H1153" s="92" t="n"/>
      <c r="I1153" s="92" t="n"/>
      <c r="J1153" s="92" t="n"/>
      <c r="K1153" s="92" t="n"/>
      <c r="L1153" s="92" t="n"/>
      <c r="M1153" s="97" t="n"/>
      <c r="N1153" s="92" t="n"/>
      <c r="O1153" s="92" t="n"/>
      <c r="P1153" s="92" t="n"/>
    </row>
    <row r="1154" ht="32" customHeight="1">
      <c r="A1154" s="91" t="n"/>
      <c r="B1154" s="91" t="n"/>
      <c r="C1154" s="91" t="n"/>
      <c r="D1154" s="91" t="n"/>
      <c r="E1154" s="91" t="n"/>
      <c r="F1154" s="94" t="n"/>
      <c r="G1154" s="94" t="n"/>
      <c r="H1154" s="91" t="n"/>
      <c r="I1154" s="91" t="n"/>
      <c r="J1154" s="91" t="n"/>
      <c r="K1154" s="91" t="n"/>
      <c r="L1154" s="91" t="n"/>
      <c r="M1154" s="95" t="n"/>
      <c r="N1154" s="91" t="n"/>
      <c r="O1154" s="91" t="n"/>
      <c r="P1154" s="91" t="n"/>
    </row>
    <row r="1155" ht="32" customHeight="1">
      <c r="A1155" s="92" t="n"/>
      <c r="B1155" s="92" t="n"/>
      <c r="C1155" s="92" t="n"/>
      <c r="D1155" s="92" t="n"/>
      <c r="E1155" s="92" t="n"/>
      <c r="F1155" s="96" t="n"/>
      <c r="G1155" s="96" t="n"/>
      <c r="H1155" s="92" t="n"/>
      <c r="I1155" s="92" t="n"/>
      <c r="J1155" s="92" t="n"/>
      <c r="K1155" s="92" t="n"/>
      <c r="L1155" s="92" t="n"/>
      <c r="M1155" s="97" t="n"/>
      <c r="N1155" s="92" t="n"/>
      <c r="O1155" s="92" t="n"/>
      <c r="P1155" s="92" t="n"/>
    </row>
    <row r="1156" ht="32" customHeight="1">
      <c r="A1156" s="91" t="n"/>
      <c r="B1156" s="91" t="n"/>
      <c r="C1156" s="91" t="n"/>
      <c r="D1156" s="91" t="n"/>
      <c r="E1156" s="91" t="n"/>
      <c r="F1156" s="94" t="n"/>
      <c r="G1156" s="94" t="n"/>
      <c r="H1156" s="91" t="n"/>
      <c r="I1156" s="91" t="n"/>
      <c r="J1156" s="91" t="n"/>
      <c r="K1156" s="91" t="n"/>
      <c r="L1156" s="91" t="n"/>
      <c r="M1156" s="95" t="n"/>
      <c r="N1156" s="91" t="n"/>
      <c r="O1156" s="91" t="n"/>
      <c r="P1156" s="91" t="n"/>
    </row>
    <row r="1157" ht="32" customHeight="1">
      <c r="A1157" s="92" t="n"/>
      <c r="B1157" s="92" t="n"/>
      <c r="C1157" s="92" t="n"/>
      <c r="D1157" s="92" t="n"/>
      <c r="E1157" s="92" t="n"/>
      <c r="F1157" s="96" t="n"/>
      <c r="G1157" s="96" t="n"/>
      <c r="H1157" s="92" t="n"/>
      <c r="I1157" s="92" t="n"/>
      <c r="J1157" s="92" t="n"/>
      <c r="K1157" s="92" t="n"/>
      <c r="L1157" s="92" t="n"/>
      <c r="M1157" s="97" t="n"/>
      <c r="N1157" s="92" t="n"/>
      <c r="O1157" s="92" t="n"/>
      <c r="P1157" s="92" t="n"/>
    </row>
    <row r="1158" ht="32" customHeight="1">
      <c r="A1158" s="91" t="n"/>
      <c r="B1158" s="91" t="n"/>
      <c r="C1158" s="91" t="n"/>
      <c r="D1158" s="91" t="n"/>
      <c r="E1158" s="91" t="n"/>
      <c r="F1158" s="94" t="n"/>
      <c r="G1158" s="94" t="n"/>
      <c r="H1158" s="91" t="n"/>
      <c r="I1158" s="91" t="n"/>
      <c r="J1158" s="91" t="n"/>
      <c r="K1158" s="91" t="n"/>
      <c r="L1158" s="91" t="n"/>
      <c r="M1158" s="95" t="n"/>
      <c r="N1158" s="91" t="n"/>
      <c r="O1158" s="91" t="n"/>
      <c r="P1158" s="91" t="n"/>
    </row>
    <row r="1159" ht="32" customHeight="1">
      <c r="A1159" s="92" t="n"/>
      <c r="B1159" s="92" t="n"/>
      <c r="C1159" s="92" t="n"/>
      <c r="D1159" s="92" t="n"/>
      <c r="E1159" s="92" t="n"/>
      <c r="F1159" s="96" t="n"/>
      <c r="G1159" s="96" t="n"/>
      <c r="H1159" s="92" t="n"/>
      <c r="I1159" s="92" t="n"/>
      <c r="J1159" s="92" t="n"/>
      <c r="K1159" s="92" t="n"/>
      <c r="L1159" s="92" t="n"/>
      <c r="M1159" s="97" t="n"/>
      <c r="N1159" s="92" t="n"/>
      <c r="O1159" s="92" t="n"/>
      <c r="P1159" s="92" t="n"/>
    </row>
    <row r="1160" ht="32" customHeight="1">
      <c r="A1160" s="91" t="n"/>
      <c r="B1160" s="91" t="n"/>
      <c r="C1160" s="91" t="n"/>
      <c r="D1160" s="91" t="n"/>
      <c r="E1160" s="91" t="n"/>
      <c r="F1160" s="94" t="n"/>
      <c r="G1160" s="94" t="n"/>
      <c r="H1160" s="91" t="n"/>
      <c r="I1160" s="91" t="n"/>
      <c r="J1160" s="91" t="n"/>
      <c r="K1160" s="91" t="n"/>
      <c r="L1160" s="91" t="n"/>
      <c r="M1160" s="95" t="n"/>
      <c r="N1160" s="91" t="n"/>
      <c r="O1160" s="91" t="n"/>
      <c r="P1160" s="91" t="n"/>
    </row>
    <row r="1161" ht="32" customHeight="1">
      <c r="A1161" s="92" t="n"/>
      <c r="B1161" s="92" t="n"/>
      <c r="C1161" s="92" t="n"/>
      <c r="D1161" s="92" t="n"/>
      <c r="E1161" s="92" t="n"/>
      <c r="F1161" s="96" t="n"/>
      <c r="G1161" s="96" t="n"/>
      <c r="H1161" s="92" t="n"/>
      <c r="I1161" s="92" t="n"/>
      <c r="J1161" s="92" t="n"/>
      <c r="K1161" s="92" t="n"/>
      <c r="L1161" s="92" t="n"/>
      <c r="M1161" s="97" t="n"/>
      <c r="N1161" s="92" t="n"/>
      <c r="O1161" s="92" t="n"/>
      <c r="P1161" s="92" t="n"/>
    </row>
    <row r="1162" ht="32" customHeight="1">
      <c r="A1162" s="91" t="n"/>
      <c r="B1162" s="91" t="n"/>
      <c r="C1162" s="91" t="n"/>
      <c r="D1162" s="91" t="n"/>
      <c r="E1162" s="91" t="n"/>
      <c r="F1162" s="94" t="n"/>
      <c r="G1162" s="94" t="n"/>
      <c r="H1162" s="91" t="n"/>
      <c r="I1162" s="91" t="n"/>
      <c r="J1162" s="91" t="n"/>
      <c r="K1162" s="91" t="n"/>
      <c r="L1162" s="91" t="n"/>
      <c r="M1162" s="95" t="n"/>
      <c r="N1162" s="91" t="n"/>
      <c r="O1162" s="91" t="n"/>
      <c r="P1162" s="91" t="n"/>
    </row>
    <row r="1163" ht="32" customHeight="1">
      <c r="A1163" s="92" t="n"/>
      <c r="B1163" s="92" t="n"/>
      <c r="C1163" s="92" t="n"/>
      <c r="D1163" s="92" t="n"/>
      <c r="E1163" s="92" t="n"/>
      <c r="F1163" s="96" t="n"/>
      <c r="G1163" s="96" t="n"/>
      <c r="H1163" s="92" t="n"/>
      <c r="I1163" s="92" t="n"/>
      <c r="J1163" s="92" t="n"/>
      <c r="K1163" s="92" t="n"/>
      <c r="L1163" s="92" t="n"/>
      <c r="M1163" s="97" t="n"/>
      <c r="N1163" s="92" t="n"/>
      <c r="O1163" s="92" t="n"/>
      <c r="P1163" s="92" t="n"/>
    </row>
    <row r="1164" ht="32" customHeight="1">
      <c r="A1164" s="91" t="n"/>
      <c r="B1164" s="91" t="n"/>
      <c r="C1164" s="91" t="n"/>
      <c r="D1164" s="91" t="n"/>
      <c r="E1164" s="91" t="n"/>
      <c r="F1164" s="94" t="n"/>
      <c r="G1164" s="94" t="n"/>
      <c r="H1164" s="91" t="n"/>
      <c r="I1164" s="91" t="n"/>
      <c r="J1164" s="91" t="n"/>
      <c r="K1164" s="91" t="n"/>
      <c r="L1164" s="91" t="n"/>
      <c r="M1164" s="95" t="n"/>
      <c r="N1164" s="91" t="n"/>
      <c r="O1164" s="91" t="n"/>
      <c r="P1164" s="91" t="n"/>
    </row>
    <row r="1165" ht="32" customHeight="1">
      <c r="A1165" s="92" t="n"/>
      <c r="B1165" s="92" t="n"/>
      <c r="C1165" s="92" t="n"/>
      <c r="D1165" s="92" t="n"/>
      <c r="E1165" s="92" t="n"/>
      <c r="F1165" s="96" t="n"/>
      <c r="G1165" s="96" t="n"/>
      <c r="H1165" s="92" t="n"/>
      <c r="I1165" s="92" t="n"/>
      <c r="J1165" s="92" t="n"/>
      <c r="K1165" s="92" t="n"/>
      <c r="L1165" s="92" t="n"/>
      <c r="M1165" s="97" t="n"/>
      <c r="N1165" s="92" t="n"/>
      <c r="O1165" s="92" t="n"/>
      <c r="P1165" s="92" t="n"/>
    </row>
    <row r="1166" ht="32" customHeight="1">
      <c r="A1166" s="91" t="n"/>
      <c r="B1166" s="91" t="n"/>
      <c r="C1166" s="91" t="n"/>
      <c r="D1166" s="91" t="n"/>
      <c r="E1166" s="91" t="n"/>
      <c r="F1166" s="94" t="n"/>
      <c r="G1166" s="94" t="n"/>
      <c r="H1166" s="91" t="n"/>
      <c r="I1166" s="91" t="n"/>
      <c r="J1166" s="91" t="n"/>
      <c r="K1166" s="91" t="n"/>
      <c r="L1166" s="91" t="n"/>
      <c r="M1166" s="95" t="n"/>
      <c r="N1166" s="91" t="n"/>
      <c r="O1166" s="91" t="n"/>
      <c r="P1166" s="91" t="n"/>
    </row>
    <row r="1167" ht="32" customHeight="1">
      <c r="A1167" s="92" t="n"/>
      <c r="B1167" s="92" t="n"/>
      <c r="C1167" s="92" t="n"/>
      <c r="D1167" s="92" t="n"/>
      <c r="E1167" s="92" t="n"/>
      <c r="F1167" s="96" t="n"/>
      <c r="G1167" s="96" t="n"/>
      <c r="H1167" s="92" t="n"/>
      <c r="I1167" s="92" t="n"/>
      <c r="J1167" s="92" t="n"/>
      <c r="K1167" s="92" t="n"/>
      <c r="L1167" s="92" t="n"/>
      <c r="M1167" s="97" t="n"/>
      <c r="N1167" s="92" t="n"/>
      <c r="O1167" s="92" t="n"/>
      <c r="P1167" s="92" t="n"/>
    </row>
    <row r="1168" ht="32" customHeight="1">
      <c r="A1168" s="91" t="n"/>
      <c r="B1168" s="91" t="n"/>
      <c r="C1168" s="91" t="n"/>
      <c r="D1168" s="91" t="n"/>
      <c r="E1168" s="91" t="n"/>
      <c r="F1168" s="94" t="n"/>
      <c r="G1168" s="94" t="n"/>
      <c r="H1168" s="91" t="n"/>
      <c r="I1168" s="91" t="n"/>
      <c r="J1168" s="91" t="n"/>
      <c r="K1168" s="91" t="n"/>
      <c r="L1168" s="91" t="n"/>
      <c r="M1168" s="95" t="n"/>
      <c r="N1168" s="91" t="n"/>
      <c r="O1168" s="91" t="n"/>
      <c r="P1168" s="91" t="n"/>
    </row>
    <row r="1169" ht="32" customHeight="1">
      <c r="A1169" s="92" t="n"/>
      <c r="B1169" s="92" t="n"/>
      <c r="C1169" s="92" t="n"/>
      <c r="D1169" s="92" t="n"/>
      <c r="E1169" s="92" t="n"/>
      <c r="F1169" s="96" t="n"/>
      <c r="G1169" s="96" t="n"/>
      <c r="H1169" s="92" t="n"/>
      <c r="I1169" s="92" t="n"/>
      <c r="J1169" s="92" t="n"/>
      <c r="K1169" s="92" t="n"/>
      <c r="L1169" s="92" t="n"/>
      <c r="M1169" s="97" t="n"/>
      <c r="N1169" s="92" t="n"/>
      <c r="O1169" s="92" t="n"/>
      <c r="P1169" s="92" t="n"/>
    </row>
    <row r="1170" ht="32" customHeight="1">
      <c r="A1170" s="91" t="n"/>
      <c r="B1170" s="91" t="n"/>
      <c r="C1170" s="91" t="n"/>
      <c r="D1170" s="91" t="n"/>
      <c r="E1170" s="91" t="n"/>
      <c r="F1170" s="94" t="n"/>
      <c r="G1170" s="94" t="n"/>
      <c r="H1170" s="91" t="n"/>
      <c r="I1170" s="91" t="n"/>
      <c r="J1170" s="91" t="n"/>
      <c r="K1170" s="91" t="n"/>
      <c r="L1170" s="91" t="n"/>
      <c r="M1170" s="95" t="n"/>
      <c r="N1170" s="91" t="n"/>
      <c r="O1170" s="91" t="n"/>
      <c r="P1170" s="91" t="n"/>
    </row>
    <row r="1171" ht="32" customHeight="1">
      <c r="A1171" s="92" t="n"/>
      <c r="B1171" s="92" t="n"/>
      <c r="C1171" s="92" t="n"/>
      <c r="D1171" s="92" t="n"/>
      <c r="E1171" s="92" t="n"/>
      <c r="F1171" s="96" t="n"/>
      <c r="G1171" s="96" t="n"/>
      <c r="H1171" s="92" t="n"/>
      <c r="I1171" s="92" t="n"/>
      <c r="J1171" s="92" t="n"/>
      <c r="K1171" s="92" t="n"/>
      <c r="L1171" s="92" t="n"/>
      <c r="M1171" s="97" t="n"/>
      <c r="N1171" s="92" t="n"/>
      <c r="O1171" s="92" t="n"/>
      <c r="P1171" s="92" t="n"/>
    </row>
    <row r="1172" ht="32" customHeight="1">
      <c r="A1172" s="91" t="n"/>
      <c r="B1172" s="91" t="n"/>
      <c r="C1172" s="91" t="n"/>
      <c r="D1172" s="91" t="n"/>
      <c r="E1172" s="91" t="n"/>
      <c r="F1172" s="94" t="n"/>
      <c r="G1172" s="94" t="n"/>
      <c r="H1172" s="91" t="n"/>
      <c r="I1172" s="91" t="n"/>
      <c r="J1172" s="91" t="n"/>
      <c r="K1172" s="91" t="n"/>
      <c r="L1172" s="91" t="n"/>
      <c r="M1172" s="95" t="n"/>
      <c r="N1172" s="91" t="n"/>
      <c r="O1172" s="91" t="n"/>
      <c r="P1172" s="91" t="n"/>
    </row>
    <row r="1173" ht="32" customHeight="1">
      <c r="A1173" s="92" t="n"/>
      <c r="B1173" s="92" t="n"/>
      <c r="C1173" s="92" t="n"/>
      <c r="D1173" s="92" t="n"/>
      <c r="E1173" s="92" t="n"/>
      <c r="F1173" s="96" t="n"/>
      <c r="G1173" s="96" t="n"/>
      <c r="H1173" s="92" t="n"/>
      <c r="I1173" s="92" t="n"/>
      <c r="J1173" s="92" t="n"/>
      <c r="K1173" s="92" t="n"/>
      <c r="L1173" s="92" t="n"/>
      <c r="M1173" s="97" t="n"/>
      <c r="N1173" s="92" t="n"/>
      <c r="O1173" s="92" t="n"/>
      <c r="P1173" s="92" t="n"/>
    </row>
    <row r="1174" ht="32" customHeight="1">
      <c r="A1174" s="91" t="n"/>
      <c r="B1174" s="91" t="n"/>
      <c r="C1174" s="91" t="n"/>
      <c r="D1174" s="91" t="n"/>
      <c r="E1174" s="91" t="n"/>
      <c r="F1174" s="94" t="n"/>
      <c r="G1174" s="94" t="n"/>
      <c r="H1174" s="91" t="n"/>
      <c r="I1174" s="91" t="n"/>
      <c r="J1174" s="91" t="n"/>
      <c r="K1174" s="91" t="n"/>
      <c r="L1174" s="91" t="n"/>
      <c r="M1174" s="95" t="n"/>
      <c r="N1174" s="91" t="n"/>
      <c r="O1174" s="91" t="n"/>
      <c r="P1174" s="91" t="n"/>
    </row>
    <row r="1175" ht="32" customHeight="1">
      <c r="A1175" s="92" t="n"/>
      <c r="B1175" s="92" t="n"/>
      <c r="C1175" s="92" t="n"/>
      <c r="D1175" s="92" t="n"/>
      <c r="E1175" s="92" t="n"/>
      <c r="F1175" s="96" t="n"/>
      <c r="G1175" s="96" t="n"/>
      <c r="H1175" s="92" t="n"/>
      <c r="I1175" s="92" t="n"/>
      <c r="J1175" s="92" t="n"/>
      <c r="K1175" s="92" t="n"/>
      <c r="L1175" s="92" t="n"/>
      <c r="M1175" s="97" t="n"/>
      <c r="N1175" s="92" t="n"/>
      <c r="O1175" s="92" t="n"/>
      <c r="P1175" s="92" t="n"/>
    </row>
    <row r="1176" ht="32" customHeight="1">
      <c r="A1176" s="91" t="n"/>
      <c r="B1176" s="91" t="n"/>
      <c r="C1176" s="91" t="n"/>
      <c r="D1176" s="91" t="n"/>
      <c r="E1176" s="91" t="n"/>
      <c r="F1176" s="94" t="n"/>
      <c r="G1176" s="94" t="n"/>
      <c r="H1176" s="91" t="n"/>
      <c r="I1176" s="91" t="n"/>
      <c r="J1176" s="91" t="n"/>
      <c r="K1176" s="91" t="n"/>
      <c r="L1176" s="91" t="n"/>
      <c r="M1176" s="95" t="n"/>
      <c r="N1176" s="91" t="n"/>
      <c r="O1176" s="91" t="n"/>
      <c r="P1176" s="91" t="n"/>
    </row>
    <row r="1177" ht="32" customHeight="1">
      <c r="A1177" s="92" t="n"/>
      <c r="B1177" s="92" t="n"/>
      <c r="C1177" s="92" t="n"/>
      <c r="D1177" s="92" t="n"/>
      <c r="E1177" s="92" t="n"/>
      <c r="F1177" s="96" t="n"/>
      <c r="G1177" s="96" t="n"/>
      <c r="H1177" s="92" t="n"/>
      <c r="I1177" s="92" t="n"/>
      <c r="J1177" s="92" t="n"/>
      <c r="K1177" s="92" t="n"/>
      <c r="L1177" s="92" t="n"/>
      <c r="M1177" s="97" t="n"/>
      <c r="N1177" s="92" t="n"/>
      <c r="O1177" s="92" t="n"/>
      <c r="P1177" s="92" t="n"/>
    </row>
    <row r="1178" ht="32" customHeight="1">
      <c r="A1178" s="91" t="n"/>
      <c r="B1178" s="91" t="n"/>
      <c r="C1178" s="91" t="n"/>
      <c r="D1178" s="91" t="n"/>
      <c r="E1178" s="91" t="n"/>
      <c r="F1178" s="94" t="n"/>
      <c r="G1178" s="94" t="n"/>
      <c r="H1178" s="91" t="n"/>
      <c r="I1178" s="91" t="n"/>
      <c r="J1178" s="91" t="n"/>
      <c r="K1178" s="91" t="n"/>
      <c r="L1178" s="91" t="n"/>
      <c r="M1178" s="95" t="n"/>
      <c r="N1178" s="91" t="n"/>
      <c r="O1178" s="91" t="n"/>
      <c r="P1178" s="91" t="n"/>
    </row>
    <row r="1179" ht="32" customHeight="1">
      <c r="A1179" s="92" t="n"/>
      <c r="B1179" s="92" t="n"/>
      <c r="C1179" s="92" t="n"/>
      <c r="D1179" s="92" t="n"/>
      <c r="E1179" s="92" t="n"/>
      <c r="F1179" s="96" t="n"/>
      <c r="G1179" s="96" t="n"/>
      <c r="H1179" s="92" t="n"/>
      <c r="I1179" s="92" t="n"/>
      <c r="J1179" s="92" t="n"/>
      <c r="K1179" s="92" t="n"/>
      <c r="L1179" s="92" t="n"/>
      <c r="M1179" s="97" t="n"/>
      <c r="N1179" s="92" t="n"/>
      <c r="O1179" s="92" t="n"/>
      <c r="P1179" s="92" t="n"/>
    </row>
    <row r="1180" ht="32" customHeight="1">
      <c r="A1180" s="91" t="n"/>
      <c r="B1180" s="91" t="n"/>
      <c r="C1180" s="91" t="n"/>
      <c r="D1180" s="91" t="n"/>
      <c r="E1180" s="91" t="n"/>
      <c r="F1180" s="94" t="n"/>
      <c r="G1180" s="94" t="n"/>
      <c r="H1180" s="91" t="n"/>
      <c r="I1180" s="91" t="n"/>
      <c r="J1180" s="91" t="n"/>
      <c r="K1180" s="91" t="n"/>
      <c r="L1180" s="91" t="n"/>
      <c r="M1180" s="95" t="n"/>
      <c r="N1180" s="91" t="n"/>
      <c r="O1180" s="91" t="n"/>
      <c r="P1180" s="91" t="n"/>
    </row>
    <row r="1181" ht="32" customHeight="1">
      <c r="A1181" s="92" t="n"/>
      <c r="B1181" s="92" t="n"/>
      <c r="C1181" s="92" t="n"/>
      <c r="D1181" s="92" t="n"/>
      <c r="E1181" s="92" t="n"/>
      <c r="F1181" s="96" t="n"/>
      <c r="G1181" s="96" t="n"/>
      <c r="H1181" s="92" t="n"/>
      <c r="I1181" s="92" t="n"/>
      <c r="J1181" s="92" t="n"/>
      <c r="K1181" s="92" t="n"/>
      <c r="L1181" s="92" t="n"/>
      <c r="M1181" s="97" t="n"/>
      <c r="N1181" s="92" t="n"/>
      <c r="O1181" s="92" t="n"/>
      <c r="P1181" s="92" t="n"/>
    </row>
    <row r="1182" ht="32" customHeight="1">
      <c r="A1182" s="91" t="n"/>
      <c r="B1182" s="91" t="n"/>
      <c r="C1182" s="91" t="n"/>
      <c r="D1182" s="91" t="n"/>
      <c r="E1182" s="91" t="n"/>
      <c r="F1182" s="94" t="n"/>
      <c r="G1182" s="94" t="n"/>
      <c r="H1182" s="91" t="n"/>
      <c r="I1182" s="91" t="n"/>
      <c r="J1182" s="91" t="n"/>
      <c r="K1182" s="91" t="n"/>
      <c r="L1182" s="91" t="n"/>
      <c r="M1182" s="95" t="n"/>
      <c r="N1182" s="91" t="n"/>
      <c r="O1182" s="91" t="n"/>
      <c r="P1182" s="91" t="n"/>
    </row>
    <row r="1183" ht="32" customHeight="1">
      <c r="A1183" s="92" t="n"/>
      <c r="B1183" s="92" t="n"/>
      <c r="C1183" s="92" t="n"/>
      <c r="D1183" s="92" t="n"/>
      <c r="E1183" s="92" t="n"/>
      <c r="F1183" s="96" t="n"/>
      <c r="G1183" s="96" t="n"/>
      <c r="H1183" s="92" t="n"/>
      <c r="I1183" s="92" t="n"/>
      <c r="J1183" s="92" t="n"/>
      <c r="K1183" s="92" t="n"/>
      <c r="L1183" s="92" t="n"/>
      <c r="M1183" s="97" t="n"/>
      <c r="N1183" s="92" t="n"/>
      <c r="O1183" s="92" t="n"/>
      <c r="P1183" s="92" t="n"/>
    </row>
    <row r="1184" ht="32" customHeight="1">
      <c r="A1184" s="91" t="n"/>
      <c r="B1184" s="91" t="n"/>
      <c r="C1184" s="91" t="n"/>
      <c r="D1184" s="91" t="n"/>
      <c r="E1184" s="91" t="n"/>
      <c r="F1184" s="94" t="n"/>
      <c r="G1184" s="94" t="n"/>
      <c r="H1184" s="91" t="n"/>
      <c r="I1184" s="91" t="n"/>
      <c r="J1184" s="91" t="n"/>
      <c r="K1184" s="91" t="n"/>
      <c r="L1184" s="91" t="n"/>
      <c r="M1184" s="95" t="n"/>
      <c r="N1184" s="91" t="n"/>
      <c r="O1184" s="91" t="n"/>
      <c r="P1184" s="91" t="n"/>
    </row>
    <row r="1185" ht="32" customHeight="1">
      <c r="A1185" s="92" t="n"/>
      <c r="B1185" s="92" t="n"/>
      <c r="C1185" s="92" t="n"/>
      <c r="D1185" s="92" t="n"/>
      <c r="E1185" s="92" t="n"/>
      <c r="F1185" s="96" t="n"/>
      <c r="G1185" s="96" t="n"/>
      <c r="H1185" s="92" t="n"/>
      <c r="I1185" s="92" t="n"/>
      <c r="J1185" s="92" t="n"/>
      <c r="K1185" s="92" t="n"/>
      <c r="L1185" s="92" t="n"/>
      <c r="M1185" s="97" t="n"/>
      <c r="N1185" s="92" t="n"/>
      <c r="O1185" s="92" t="n"/>
      <c r="P1185" s="92" t="n"/>
    </row>
    <row r="1186" ht="32" customHeight="1">
      <c r="A1186" s="91" t="n"/>
      <c r="B1186" s="91" t="n"/>
      <c r="C1186" s="91" t="n"/>
      <c r="D1186" s="91" t="n"/>
      <c r="E1186" s="91" t="n"/>
      <c r="F1186" s="94" t="n"/>
      <c r="G1186" s="94" t="n"/>
      <c r="H1186" s="91" t="n"/>
      <c r="I1186" s="91" t="n"/>
      <c r="J1186" s="91" t="n"/>
      <c r="K1186" s="91" t="n"/>
      <c r="L1186" s="91" t="n"/>
      <c r="M1186" s="95" t="n"/>
      <c r="N1186" s="91" t="n"/>
      <c r="O1186" s="91" t="n"/>
      <c r="P1186" s="91" t="n"/>
    </row>
    <row r="1187" ht="32" customHeight="1">
      <c r="A1187" s="92" t="n"/>
      <c r="B1187" s="92" t="n"/>
      <c r="C1187" s="92" t="n"/>
      <c r="D1187" s="92" t="n"/>
      <c r="E1187" s="92" t="n"/>
      <c r="F1187" s="96" t="n"/>
      <c r="G1187" s="96" t="n"/>
      <c r="H1187" s="92" t="n"/>
      <c r="I1187" s="92" t="n"/>
      <c r="J1187" s="92" t="n"/>
      <c r="K1187" s="92" t="n"/>
      <c r="L1187" s="92" t="n"/>
      <c r="M1187" s="97" t="n"/>
      <c r="N1187" s="92" t="n"/>
      <c r="O1187" s="92" t="n"/>
      <c r="P1187" s="92" t="n"/>
    </row>
    <row r="1188" ht="32" customHeight="1">
      <c r="A1188" s="91" t="n"/>
      <c r="B1188" s="91" t="n"/>
      <c r="C1188" s="91" t="n"/>
      <c r="D1188" s="91" t="n"/>
      <c r="E1188" s="91" t="n"/>
      <c r="F1188" s="94" t="n"/>
      <c r="G1188" s="94" t="n"/>
      <c r="H1188" s="91" t="n"/>
      <c r="I1188" s="91" t="n"/>
      <c r="J1188" s="91" t="n"/>
      <c r="K1188" s="91" t="n"/>
      <c r="L1188" s="91" t="n"/>
      <c r="M1188" s="95" t="n"/>
      <c r="N1188" s="91" t="n"/>
      <c r="O1188" s="91" t="n"/>
      <c r="P1188" s="91" t="n"/>
    </row>
    <row r="1189" ht="32" customHeight="1">
      <c r="A1189" s="92" t="n"/>
      <c r="B1189" s="92" t="n"/>
      <c r="C1189" s="92" t="n"/>
      <c r="D1189" s="92" t="n"/>
      <c r="E1189" s="92" t="n"/>
      <c r="F1189" s="96" t="n"/>
      <c r="G1189" s="96" t="n"/>
      <c r="H1189" s="92" t="n"/>
      <c r="I1189" s="92" t="n"/>
      <c r="J1189" s="92" t="n"/>
      <c r="K1189" s="92" t="n"/>
      <c r="L1189" s="92" t="n"/>
      <c r="M1189" s="97" t="n"/>
      <c r="N1189" s="92" t="n"/>
      <c r="O1189" s="92" t="n"/>
      <c r="P1189" s="92" t="n"/>
    </row>
    <row r="1190" ht="32" customHeight="1">
      <c r="A1190" s="91" t="n"/>
      <c r="B1190" s="91" t="n"/>
      <c r="C1190" s="91" t="n"/>
      <c r="D1190" s="91" t="n"/>
      <c r="E1190" s="91" t="n"/>
      <c r="F1190" s="94" t="n"/>
      <c r="G1190" s="94" t="n"/>
      <c r="H1190" s="91" t="n"/>
      <c r="I1190" s="91" t="n"/>
      <c r="J1190" s="91" t="n"/>
      <c r="K1190" s="91" t="n"/>
      <c r="L1190" s="91" t="n"/>
      <c r="M1190" s="95" t="n"/>
      <c r="N1190" s="91" t="n"/>
      <c r="O1190" s="91" t="n"/>
      <c r="P1190" s="91" t="n"/>
    </row>
    <row r="1191" ht="32" customHeight="1">
      <c r="A1191" s="92" t="n"/>
      <c r="B1191" s="92" t="n"/>
      <c r="C1191" s="92" t="n"/>
      <c r="D1191" s="92" t="n"/>
      <c r="E1191" s="92" t="n"/>
      <c r="F1191" s="96" t="n"/>
      <c r="G1191" s="96" t="n"/>
      <c r="H1191" s="92" t="n"/>
      <c r="I1191" s="92" t="n"/>
      <c r="J1191" s="92" t="n"/>
      <c r="K1191" s="92" t="n"/>
      <c r="L1191" s="92" t="n"/>
      <c r="M1191" s="97" t="n"/>
      <c r="N1191" s="92" t="n"/>
      <c r="O1191" s="92" t="n"/>
      <c r="P1191" s="92" t="n"/>
    </row>
    <row r="1192" ht="32" customHeight="1">
      <c r="A1192" s="91" t="n"/>
      <c r="B1192" s="91" t="n"/>
      <c r="C1192" s="91" t="n"/>
      <c r="D1192" s="91" t="n"/>
      <c r="E1192" s="91" t="n"/>
      <c r="F1192" s="94" t="n"/>
      <c r="G1192" s="94" t="n"/>
      <c r="H1192" s="91" t="n"/>
      <c r="I1192" s="91" t="n"/>
      <c r="J1192" s="91" t="n"/>
      <c r="K1192" s="91" t="n"/>
      <c r="L1192" s="91" t="n"/>
      <c r="M1192" s="95" t="n"/>
      <c r="N1192" s="91" t="n"/>
      <c r="O1192" s="91" t="n"/>
      <c r="P1192" s="91" t="n"/>
    </row>
    <row r="1193" ht="32" customHeight="1">
      <c r="A1193" s="92" t="n"/>
      <c r="B1193" s="92" t="n"/>
      <c r="C1193" s="92" t="n"/>
      <c r="D1193" s="92" t="n"/>
      <c r="E1193" s="92" t="n"/>
      <c r="F1193" s="96" t="n"/>
      <c r="G1193" s="96" t="n"/>
      <c r="H1193" s="92" t="n"/>
      <c r="I1193" s="92" t="n"/>
      <c r="J1193" s="92" t="n"/>
      <c r="K1193" s="92" t="n"/>
      <c r="L1193" s="92" t="n"/>
      <c r="M1193" s="97" t="n"/>
      <c r="N1193" s="92" t="n"/>
      <c r="O1193" s="92" t="n"/>
      <c r="P1193" s="92" t="n"/>
    </row>
    <row r="1194" ht="32" customHeight="1">
      <c r="A1194" s="91" t="n"/>
      <c r="B1194" s="91" t="n"/>
      <c r="C1194" s="91" t="n"/>
      <c r="D1194" s="91" t="n"/>
      <c r="E1194" s="91" t="n"/>
      <c r="F1194" s="94" t="n"/>
      <c r="G1194" s="94" t="n"/>
      <c r="H1194" s="91" t="n"/>
      <c r="I1194" s="91" t="n"/>
      <c r="J1194" s="91" t="n"/>
      <c r="K1194" s="91" t="n"/>
      <c r="L1194" s="91" t="n"/>
      <c r="M1194" s="95" t="n"/>
      <c r="N1194" s="91" t="n"/>
      <c r="O1194" s="91" t="n"/>
      <c r="P1194" s="91" t="n"/>
    </row>
    <row r="1195" ht="32" customHeight="1">
      <c r="A1195" s="92" t="n"/>
      <c r="B1195" s="92" t="n"/>
      <c r="C1195" s="92" t="n"/>
      <c r="D1195" s="92" t="n"/>
      <c r="E1195" s="92" t="n"/>
      <c r="F1195" s="96" t="n"/>
      <c r="G1195" s="96" t="n"/>
      <c r="H1195" s="92" t="n"/>
      <c r="I1195" s="92" t="n"/>
      <c r="J1195" s="92" t="n"/>
      <c r="K1195" s="92" t="n"/>
      <c r="L1195" s="92" t="n"/>
      <c r="M1195" s="97" t="n"/>
      <c r="N1195" s="92" t="n"/>
      <c r="O1195" s="92" t="n"/>
      <c r="P1195" s="92" t="n"/>
    </row>
    <row r="1196" ht="32" customHeight="1">
      <c r="A1196" s="91" t="n"/>
      <c r="B1196" s="91" t="n"/>
      <c r="C1196" s="91" t="n"/>
      <c r="D1196" s="91" t="n"/>
      <c r="E1196" s="91" t="n"/>
      <c r="F1196" s="94" t="n"/>
      <c r="G1196" s="94" t="n"/>
      <c r="H1196" s="91" t="n"/>
      <c r="I1196" s="91" t="n"/>
      <c r="J1196" s="91" t="n"/>
      <c r="K1196" s="91" t="n"/>
      <c r="L1196" s="91" t="n"/>
      <c r="M1196" s="95" t="n"/>
      <c r="N1196" s="91" t="n"/>
      <c r="O1196" s="91" t="n"/>
      <c r="P1196" s="91" t="n"/>
    </row>
    <row r="1197" ht="32" customHeight="1">
      <c r="A1197" s="92" t="n"/>
      <c r="B1197" s="92" t="n"/>
      <c r="C1197" s="92" t="n"/>
      <c r="D1197" s="92" t="n"/>
      <c r="E1197" s="92" t="n"/>
      <c r="F1197" s="96" t="n"/>
      <c r="G1197" s="96" t="n"/>
      <c r="H1197" s="92" t="n"/>
      <c r="I1197" s="92" t="n"/>
      <c r="J1197" s="92" t="n"/>
      <c r="K1197" s="92" t="n"/>
      <c r="L1197" s="92" t="n"/>
      <c r="M1197" s="97" t="n"/>
      <c r="N1197" s="92" t="n"/>
      <c r="O1197" s="92" t="n"/>
      <c r="P1197" s="92" t="n"/>
    </row>
    <row r="1198" ht="32" customHeight="1">
      <c r="A1198" s="91" t="n"/>
      <c r="B1198" s="91" t="n"/>
      <c r="C1198" s="91" t="n"/>
      <c r="D1198" s="91" t="n"/>
      <c r="E1198" s="91" t="n"/>
      <c r="F1198" s="94" t="n"/>
      <c r="G1198" s="94" t="n"/>
      <c r="H1198" s="91" t="n"/>
      <c r="I1198" s="91" t="n"/>
      <c r="J1198" s="91" t="n"/>
      <c r="K1198" s="91" t="n"/>
      <c r="L1198" s="91" t="n"/>
      <c r="M1198" s="95" t="n"/>
      <c r="N1198" s="91" t="n"/>
      <c r="O1198" s="91" t="n"/>
      <c r="P1198" s="91" t="n"/>
    </row>
    <row r="1199" ht="32" customHeight="1">
      <c r="A1199" s="92" t="n"/>
      <c r="B1199" s="92" t="n"/>
      <c r="C1199" s="92" t="n"/>
      <c r="D1199" s="92" t="n"/>
      <c r="E1199" s="92" t="n"/>
      <c r="F1199" s="96" t="n"/>
      <c r="G1199" s="96" t="n"/>
      <c r="H1199" s="92" t="n"/>
      <c r="I1199" s="92" t="n"/>
      <c r="J1199" s="92" t="n"/>
      <c r="K1199" s="92" t="n"/>
      <c r="L1199" s="92" t="n"/>
      <c r="M1199" s="97" t="n"/>
      <c r="N1199" s="92" t="n"/>
      <c r="O1199" s="92" t="n"/>
      <c r="P1199" s="92" t="n"/>
    </row>
    <row r="1200" ht="32" customHeight="1">
      <c r="A1200" s="91" t="n"/>
      <c r="B1200" s="91" t="n"/>
      <c r="C1200" s="91" t="n"/>
      <c r="D1200" s="91" t="n"/>
      <c r="E1200" s="91" t="n"/>
      <c r="F1200" s="94" t="n"/>
      <c r="G1200" s="94" t="n"/>
      <c r="H1200" s="91" t="n"/>
      <c r="I1200" s="91" t="n"/>
      <c r="J1200" s="91" t="n"/>
      <c r="K1200" s="91" t="n"/>
      <c r="L1200" s="91" t="n"/>
      <c r="M1200" s="95" t="n"/>
      <c r="N1200" s="91" t="n"/>
      <c r="O1200" s="91" t="n"/>
      <c r="P1200" s="91" t="n"/>
    </row>
    <row r="1201" ht="32" customHeight="1">
      <c r="A1201" s="92" t="n"/>
      <c r="B1201" s="92" t="n"/>
      <c r="C1201" s="92" t="n"/>
      <c r="D1201" s="92" t="n"/>
      <c r="E1201" s="92" t="n"/>
      <c r="F1201" s="96" t="n"/>
      <c r="G1201" s="96" t="n"/>
      <c r="H1201" s="92" t="n"/>
      <c r="I1201" s="92" t="n"/>
      <c r="J1201" s="92" t="n"/>
      <c r="K1201" s="92" t="n"/>
      <c r="L1201" s="92" t="n"/>
      <c r="M1201" s="97" t="n"/>
      <c r="N1201" s="92" t="n"/>
      <c r="O1201" s="92" t="n"/>
      <c r="P1201" s="92" t="n"/>
    </row>
    <row r="1202" ht="32" customHeight="1">
      <c r="A1202" s="91" t="n"/>
      <c r="B1202" s="91" t="n"/>
      <c r="C1202" s="91" t="n"/>
      <c r="D1202" s="91" t="n"/>
      <c r="E1202" s="91" t="n"/>
      <c r="F1202" s="94" t="n"/>
      <c r="G1202" s="94" t="n"/>
      <c r="H1202" s="91" t="n"/>
      <c r="I1202" s="91" t="n"/>
      <c r="J1202" s="91" t="n"/>
      <c r="K1202" s="91" t="n"/>
      <c r="L1202" s="91" t="n"/>
      <c r="M1202" s="95" t="n"/>
      <c r="N1202" s="91" t="n"/>
      <c r="O1202" s="91" t="n"/>
      <c r="P1202" s="91" t="n"/>
    </row>
    <row r="1203" ht="32" customHeight="1">
      <c r="A1203" s="92" t="n"/>
      <c r="B1203" s="92" t="n"/>
      <c r="C1203" s="92" t="n"/>
      <c r="D1203" s="92" t="n"/>
      <c r="E1203" s="92" t="n"/>
      <c r="F1203" s="96" t="n"/>
      <c r="G1203" s="96" t="n"/>
      <c r="H1203" s="92" t="n"/>
      <c r="I1203" s="92" t="n"/>
      <c r="J1203" s="92" t="n"/>
      <c r="K1203" s="92" t="n"/>
      <c r="L1203" s="92" t="n"/>
      <c r="M1203" s="97" t="n"/>
      <c r="N1203" s="92" t="n"/>
      <c r="O1203" s="92" t="n"/>
      <c r="P1203" s="92" t="n"/>
    </row>
    <row r="1204" ht="32" customHeight="1">
      <c r="A1204" s="91" t="n"/>
      <c r="B1204" s="91" t="n"/>
      <c r="C1204" s="91" t="n"/>
      <c r="D1204" s="91" t="n"/>
      <c r="E1204" s="91" t="n"/>
      <c r="F1204" s="94" t="n"/>
      <c r="G1204" s="94" t="n"/>
      <c r="H1204" s="91" t="n"/>
      <c r="I1204" s="91" t="n"/>
      <c r="J1204" s="91" t="n"/>
      <c r="K1204" s="91" t="n"/>
      <c r="L1204" s="91" t="n"/>
      <c r="M1204" s="95" t="n"/>
      <c r="N1204" s="91" t="n"/>
      <c r="O1204" s="91" t="n"/>
      <c r="P1204" s="91" t="n"/>
    </row>
    <row r="1205" ht="32" customHeight="1">
      <c r="A1205" s="92" t="n"/>
      <c r="B1205" s="92" t="n"/>
      <c r="C1205" s="92" t="n"/>
      <c r="D1205" s="92" t="n"/>
      <c r="E1205" s="92" t="n"/>
      <c r="F1205" s="96" t="n"/>
      <c r="G1205" s="96" t="n"/>
      <c r="H1205" s="92" t="n"/>
      <c r="I1205" s="92" t="n"/>
      <c r="J1205" s="92" t="n"/>
      <c r="K1205" s="92" t="n"/>
      <c r="L1205" s="92" t="n"/>
      <c r="M1205" s="97" t="n"/>
      <c r="N1205" s="92" t="n"/>
      <c r="O1205" s="92" t="n"/>
      <c r="P1205" s="92" t="n"/>
    </row>
    <row r="1206" ht="32" customHeight="1">
      <c r="A1206" s="91" t="n"/>
      <c r="B1206" s="91" t="n"/>
      <c r="C1206" s="91" t="n"/>
      <c r="D1206" s="91" t="n"/>
      <c r="E1206" s="91" t="n"/>
      <c r="F1206" s="94" t="n"/>
      <c r="G1206" s="94" t="n"/>
      <c r="H1206" s="91" t="n"/>
      <c r="I1206" s="91" t="n"/>
      <c r="J1206" s="91" t="n"/>
      <c r="K1206" s="91" t="n"/>
      <c r="L1206" s="91" t="n"/>
      <c r="M1206" s="95" t="n"/>
      <c r="N1206" s="91" t="n"/>
      <c r="O1206" s="91" t="n"/>
      <c r="P1206" s="91" t="n"/>
    </row>
    <row r="1207" ht="32" customHeight="1">
      <c r="A1207" s="92" t="n"/>
      <c r="B1207" s="92" t="n"/>
      <c r="C1207" s="92" t="n"/>
      <c r="D1207" s="92" t="n"/>
      <c r="E1207" s="92" t="n"/>
      <c r="F1207" s="96" t="n"/>
      <c r="G1207" s="96" t="n"/>
      <c r="H1207" s="92" t="n"/>
      <c r="I1207" s="92" t="n"/>
      <c r="J1207" s="92" t="n"/>
      <c r="K1207" s="92" t="n"/>
      <c r="L1207" s="92" t="n"/>
      <c r="M1207" s="97" t="n"/>
      <c r="N1207" s="92" t="n"/>
      <c r="O1207" s="92" t="n"/>
      <c r="P1207" s="92" t="n"/>
    </row>
    <row r="1208" ht="32" customHeight="1">
      <c r="A1208" s="91" t="n"/>
      <c r="B1208" s="91" t="n"/>
      <c r="C1208" s="91" t="n"/>
      <c r="D1208" s="91" t="n"/>
      <c r="E1208" s="91" t="n"/>
      <c r="F1208" s="94" t="n"/>
      <c r="G1208" s="94" t="n"/>
      <c r="H1208" s="91" t="n"/>
      <c r="I1208" s="91" t="n"/>
      <c r="J1208" s="91" t="n"/>
      <c r="K1208" s="91" t="n"/>
      <c r="L1208" s="91" t="n"/>
      <c r="M1208" s="95" t="n"/>
      <c r="N1208" s="91" t="n"/>
      <c r="O1208" s="91" t="n"/>
      <c r="P1208" s="91" t="n"/>
    </row>
    <row r="1209" ht="32" customHeight="1">
      <c r="A1209" s="92" t="n"/>
      <c r="B1209" s="92" t="n"/>
      <c r="C1209" s="92" t="n"/>
      <c r="D1209" s="92" t="n"/>
      <c r="E1209" s="92" t="n"/>
      <c r="F1209" s="96" t="n"/>
      <c r="G1209" s="96" t="n"/>
      <c r="H1209" s="92" t="n"/>
      <c r="I1209" s="92" t="n"/>
      <c r="J1209" s="92" t="n"/>
      <c r="K1209" s="92" t="n"/>
      <c r="L1209" s="92" t="n"/>
      <c r="M1209" s="97" t="n"/>
      <c r="N1209" s="92" t="n"/>
      <c r="O1209" s="92" t="n"/>
      <c r="P1209" s="92" t="n"/>
    </row>
    <row r="1210" ht="32" customHeight="1">
      <c r="A1210" s="91" t="n"/>
      <c r="B1210" s="91" t="n"/>
      <c r="C1210" s="91" t="n"/>
      <c r="D1210" s="91" t="n"/>
      <c r="E1210" s="91" t="n"/>
      <c r="F1210" s="94" t="n"/>
      <c r="G1210" s="94" t="n"/>
      <c r="H1210" s="91" t="n"/>
      <c r="I1210" s="91" t="n"/>
      <c r="J1210" s="91" t="n"/>
      <c r="K1210" s="91" t="n"/>
      <c r="L1210" s="91" t="n"/>
      <c r="M1210" s="95" t="n"/>
      <c r="N1210" s="91" t="n"/>
      <c r="O1210" s="91" t="n"/>
      <c r="P1210" s="91" t="n"/>
    </row>
    <row r="1211" ht="32" customHeight="1">
      <c r="A1211" s="92" t="n"/>
      <c r="B1211" s="92" t="n"/>
      <c r="C1211" s="92" t="n"/>
      <c r="D1211" s="92" t="n"/>
      <c r="E1211" s="92" t="n"/>
      <c r="F1211" s="96" t="n"/>
      <c r="G1211" s="96" t="n"/>
      <c r="H1211" s="92" t="n"/>
      <c r="I1211" s="92" t="n"/>
      <c r="J1211" s="92" t="n"/>
      <c r="K1211" s="92" t="n"/>
      <c r="L1211" s="92" t="n"/>
      <c r="M1211" s="97" t="n"/>
      <c r="N1211" s="92" t="n"/>
      <c r="O1211" s="92" t="n"/>
      <c r="P1211" s="92" t="n"/>
    </row>
    <row r="1212" ht="32" customHeight="1">
      <c r="A1212" s="91" t="n"/>
      <c r="B1212" s="91" t="n"/>
      <c r="C1212" s="91" t="n"/>
      <c r="D1212" s="91" t="n"/>
      <c r="E1212" s="91" t="n"/>
      <c r="F1212" s="94" t="n"/>
      <c r="G1212" s="94" t="n"/>
      <c r="H1212" s="91" t="n"/>
      <c r="I1212" s="91" t="n"/>
      <c r="J1212" s="91" t="n"/>
      <c r="K1212" s="91" t="n"/>
      <c r="L1212" s="91" t="n"/>
      <c r="M1212" s="95" t="n"/>
      <c r="N1212" s="91" t="n"/>
      <c r="O1212" s="91" t="n"/>
      <c r="P1212" s="91" t="n"/>
    </row>
    <row r="1213" ht="32" customHeight="1">
      <c r="A1213" s="92" t="n"/>
      <c r="B1213" s="92" t="n"/>
      <c r="C1213" s="92" t="n"/>
      <c r="D1213" s="92" t="n"/>
      <c r="E1213" s="92" t="n"/>
      <c r="F1213" s="96" t="n"/>
      <c r="G1213" s="96" t="n"/>
      <c r="H1213" s="92" t="n"/>
      <c r="I1213" s="92" t="n"/>
      <c r="J1213" s="92" t="n"/>
      <c r="K1213" s="92" t="n"/>
      <c r="L1213" s="92" t="n"/>
      <c r="M1213" s="97" t="n"/>
      <c r="N1213" s="92" t="n"/>
      <c r="O1213" s="92" t="n"/>
      <c r="P1213" s="92" t="n"/>
    </row>
    <row r="1214" ht="32" customHeight="1">
      <c r="A1214" s="91" t="n"/>
      <c r="B1214" s="91" t="n"/>
      <c r="C1214" s="91" t="n"/>
      <c r="D1214" s="91" t="n"/>
      <c r="E1214" s="91" t="n"/>
      <c r="F1214" s="94" t="n"/>
      <c r="G1214" s="94" t="n"/>
      <c r="H1214" s="91" t="n"/>
      <c r="I1214" s="91" t="n"/>
      <c r="J1214" s="91" t="n"/>
      <c r="K1214" s="91" t="n"/>
      <c r="L1214" s="91" t="n"/>
      <c r="M1214" s="95" t="n"/>
      <c r="N1214" s="91" t="n"/>
      <c r="O1214" s="91" t="n"/>
      <c r="P1214" s="91" t="n"/>
    </row>
    <row r="1215" ht="32" customHeight="1">
      <c r="A1215" s="92" t="n"/>
      <c r="B1215" s="92" t="n"/>
      <c r="C1215" s="92" t="n"/>
      <c r="D1215" s="92" t="n"/>
      <c r="E1215" s="92" t="n"/>
      <c r="F1215" s="96" t="n"/>
      <c r="G1215" s="96" t="n"/>
      <c r="H1215" s="92" t="n"/>
      <c r="I1215" s="92" t="n"/>
      <c r="J1215" s="92" t="n"/>
      <c r="K1215" s="92" t="n"/>
      <c r="L1215" s="92" t="n"/>
      <c r="M1215" s="97" t="n"/>
      <c r="N1215" s="92" t="n"/>
      <c r="O1215" s="92" t="n"/>
      <c r="P1215" s="92" t="n"/>
    </row>
    <row r="1216" ht="32" customHeight="1">
      <c r="A1216" s="91" t="n"/>
      <c r="B1216" s="91" t="n"/>
      <c r="C1216" s="91" t="n"/>
      <c r="D1216" s="91" t="n"/>
      <c r="E1216" s="91" t="n"/>
      <c r="F1216" s="94" t="n"/>
      <c r="G1216" s="94" t="n"/>
      <c r="H1216" s="91" t="n"/>
      <c r="I1216" s="91" t="n"/>
      <c r="J1216" s="91" t="n"/>
      <c r="K1216" s="91" t="n"/>
      <c r="L1216" s="91" t="n"/>
      <c r="M1216" s="95" t="n"/>
      <c r="N1216" s="91" t="n"/>
      <c r="O1216" s="91" t="n"/>
      <c r="P1216" s="91" t="n"/>
    </row>
    <row r="1217" ht="32" customHeight="1">
      <c r="A1217" s="92" t="n"/>
      <c r="B1217" s="92" t="n"/>
      <c r="C1217" s="92" t="n"/>
      <c r="D1217" s="92" t="n"/>
      <c r="E1217" s="92" t="n"/>
      <c r="F1217" s="96" t="n"/>
      <c r="G1217" s="96" t="n"/>
      <c r="H1217" s="92" t="n"/>
      <c r="I1217" s="92" t="n"/>
      <c r="J1217" s="92" t="n"/>
      <c r="K1217" s="92" t="n"/>
      <c r="L1217" s="92" t="n"/>
      <c r="M1217" s="97" t="n"/>
      <c r="N1217" s="92" t="n"/>
      <c r="O1217" s="92" t="n"/>
      <c r="P1217" s="92" t="n"/>
    </row>
    <row r="1218" ht="32" customHeight="1">
      <c r="A1218" s="91" t="n"/>
      <c r="B1218" s="91" t="n"/>
      <c r="C1218" s="91" t="n"/>
      <c r="D1218" s="91" t="n"/>
      <c r="E1218" s="91" t="n"/>
      <c r="F1218" s="94" t="n"/>
      <c r="G1218" s="94" t="n"/>
      <c r="H1218" s="91" t="n"/>
      <c r="I1218" s="91" t="n"/>
      <c r="J1218" s="91" t="n"/>
      <c r="K1218" s="91" t="n"/>
      <c r="L1218" s="91" t="n"/>
      <c r="M1218" s="95" t="n"/>
      <c r="N1218" s="91" t="n"/>
      <c r="O1218" s="91" t="n"/>
      <c r="P1218" s="91" t="n"/>
    </row>
    <row r="1219" ht="32" customHeight="1">
      <c r="A1219" s="92" t="n"/>
      <c r="B1219" s="92" t="n"/>
      <c r="C1219" s="92" t="n"/>
      <c r="D1219" s="92" t="n"/>
      <c r="E1219" s="92" t="n"/>
      <c r="F1219" s="96" t="n"/>
      <c r="G1219" s="96" t="n"/>
      <c r="H1219" s="92" t="n"/>
      <c r="I1219" s="92" t="n"/>
      <c r="J1219" s="92" t="n"/>
      <c r="K1219" s="92" t="n"/>
      <c r="L1219" s="92" t="n"/>
      <c r="M1219" s="97" t="n"/>
      <c r="N1219" s="92" t="n"/>
      <c r="O1219" s="92" t="n"/>
      <c r="P1219" s="92" t="n"/>
    </row>
    <row r="1220" ht="32" customHeight="1">
      <c r="A1220" s="91" t="n"/>
      <c r="B1220" s="91" t="n"/>
      <c r="C1220" s="91" t="n"/>
      <c r="D1220" s="91" t="n"/>
      <c r="E1220" s="91" t="n"/>
      <c r="F1220" s="94" t="n"/>
      <c r="G1220" s="94" t="n"/>
      <c r="H1220" s="91" t="n"/>
      <c r="I1220" s="91" t="n"/>
      <c r="J1220" s="91" t="n"/>
      <c r="K1220" s="91" t="n"/>
      <c r="L1220" s="91" t="n"/>
      <c r="M1220" s="95" t="n"/>
      <c r="N1220" s="91" t="n"/>
      <c r="O1220" s="91" t="n"/>
      <c r="P1220" s="91" t="n"/>
    </row>
    <row r="1221" ht="32" customHeight="1">
      <c r="A1221" s="92" t="n"/>
      <c r="B1221" s="92" t="n"/>
      <c r="C1221" s="92" t="n"/>
      <c r="D1221" s="92" t="n"/>
      <c r="E1221" s="92" t="n"/>
      <c r="F1221" s="96" t="n"/>
      <c r="G1221" s="96" t="n"/>
      <c r="H1221" s="92" t="n"/>
      <c r="I1221" s="92" t="n"/>
      <c r="J1221" s="92" t="n"/>
      <c r="K1221" s="92" t="n"/>
      <c r="L1221" s="92" t="n"/>
      <c r="M1221" s="97" t="n"/>
      <c r="N1221" s="92" t="n"/>
      <c r="O1221" s="92" t="n"/>
      <c r="P1221" s="92" t="n"/>
    </row>
    <row r="1222" ht="32" customHeight="1">
      <c r="A1222" s="91" t="n"/>
      <c r="B1222" s="91" t="n"/>
      <c r="C1222" s="91" t="n"/>
      <c r="D1222" s="91" t="n"/>
      <c r="E1222" s="91" t="n"/>
      <c r="F1222" s="94" t="n"/>
      <c r="G1222" s="94" t="n"/>
      <c r="H1222" s="91" t="n"/>
      <c r="I1222" s="91" t="n"/>
      <c r="J1222" s="91" t="n"/>
      <c r="K1222" s="91" t="n"/>
      <c r="L1222" s="91" t="n"/>
      <c r="M1222" s="95" t="n"/>
      <c r="N1222" s="91" t="n"/>
      <c r="O1222" s="91" t="n"/>
      <c r="P1222" s="91" t="n"/>
    </row>
    <row r="1223" ht="32" customHeight="1">
      <c r="A1223" s="92" t="n"/>
      <c r="B1223" s="92" t="n"/>
      <c r="C1223" s="92" t="n"/>
      <c r="D1223" s="92" t="n"/>
      <c r="E1223" s="92" t="n"/>
      <c r="F1223" s="96" t="n"/>
      <c r="G1223" s="96" t="n"/>
      <c r="H1223" s="92" t="n"/>
      <c r="I1223" s="92" t="n"/>
      <c r="J1223" s="92" t="n"/>
      <c r="K1223" s="92" t="n"/>
      <c r="L1223" s="92" t="n"/>
      <c r="M1223" s="97" t="n"/>
      <c r="N1223" s="92" t="n"/>
      <c r="O1223" s="92" t="n"/>
      <c r="P1223" s="92" t="n"/>
    </row>
    <row r="1224" ht="32" customHeight="1">
      <c r="A1224" s="91" t="n"/>
      <c r="B1224" s="91" t="n"/>
      <c r="C1224" s="91" t="n"/>
      <c r="D1224" s="91" t="n"/>
      <c r="E1224" s="91" t="n"/>
      <c r="F1224" s="94" t="n"/>
      <c r="G1224" s="94" t="n"/>
      <c r="H1224" s="91" t="n"/>
      <c r="I1224" s="91" t="n"/>
      <c r="J1224" s="91" t="n"/>
      <c r="K1224" s="91" t="n"/>
      <c r="L1224" s="91" t="n"/>
      <c r="M1224" s="95" t="n"/>
      <c r="N1224" s="91" t="n"/>
      <c r="O1224" s="91" t="n"/>
      <c r="P1224" s="91" t="n"/>
    </row>
    <row r="1225" ht="32" customHeight="1">
      <c r="A1225" s="92" t="n"/>
      <c r="B1225" s="92" t="n"/>
      <c r="C1225" s="92" t="n"/>
      <c r="D1225" s="92" t="n"/>
      <c r="E1225" s="92" t="n"/>
      <c r="F1225" s="96" t="n"/>
      <c r="G1225" s="96" t="n"/>
      <c r="H1225" s="92" t="n"/>
      <c r="I1225" s="92" t="n"/>
      <c r="J1225" s="92" t="n"/>
      <c r="K1225" s="92" t="n"/>
      <c r="L1225" s="92" t="n"/>
      <c r="M1225" s="97" t="n"/>
      <c r="N1225" s="92" t="n"/>
      <c r="O1225" s="92" t="n"/>
      <c r="P1225" s="92" t="n"/>
    </row>
    <row r="1226" ht="32" customHeight="1">
      <c r="A1226" s="91" t="n"/>
      <c r="B1226" s="91" t="n"/>
      <c r="C1226" s="91" t="n"/>
      <c r="D1226" s="91" t="n"/>
      <c r="E1226" s="91" t="n"/>
      <c r="F1226" s="94" t="n"/>
      <c r="G1226" s="94" t="n"/>
      <c r="H1226" s="91" t="n"/>
      <c r="I1226" s="91" t="n"/>
      <c r="J1226" s="91" t="n"/>
      <c r="K1226" s="91" t="n"/>
      <c r="L1226" s="91" t="n"/>
      <c r="M1226" s="95" t="n"/>
      <c r="N1226" s="91" t="n"/>
      <c r="O1226" s="91" t="n"/>
      <c r="P1226" s="91" t="n"/>
    </row>
    <row r="1227" ht="32" customHeight="1">
      <c r="A1227" s="92" t="n"/>
      <c r="B1227" s="92" t="n"/>
      <c r="C1227" s="92" t="n"/>
      <c r="D1227" s="92" t="n"/>
      <c r="E1227" s="92" t="n"/>
      <c r="F1227" s="96" t="n"/>
      <c r="G1227" s="96" t="n"/>
      <c r="H1227" s="92" t="n"/>
      <c r="I1227" s="92" t="n"/>
      <c r="J1227" s="92" t="n"/>
      <c r="K1227" s="92" t="n"/>
      <c r="L1227" s="92" t="n"/>
      <c r="M1227" s="97" t="n"/>
      <c r="N1227" s="92" t="n"/>
      <c r="O1227" s="92" t="n"/>
      <c r="P1227" s="92" t="n"/>
    </row>
    <row r="1228" ht="32" customHeight="1">
      <c r="A1228" s="91" t="n"/>
      <c r="B1228" s="91" t="n"/>
      <c r="C1228" s="91" t="n"/>
      <c r="D1228" s="91" t="n"/>
      <c r="E1228" s="91" t="n"/>
      <c r="F1228" s="94" t="n"/>
      <c r="G1228" s="94" t="n"/>
      <c r="H1228" s="91" t="n"/>
      <c r="I1228" s="91" t="n"/>
      <c r="J1228" s="91" t="n"/>
      <c r="K1228" s="91" t="n"/>
      <c r="L1228" s="91" t="n"/>
      <c r="M1228" s="95" t="n"/>
      <c r="N1228" s="91" t="n"/>
      <c r="O1228" s="91" t="n"/>
      <c r="P1228" s="91" t="n"/>
    </row>
    <row r="1229" ht="32" customHeight="1">
      <c r="A1229" s="92" t="n"/>
      <c r="B1229" s="92" t="n"/>
      <c r="C1229" s="92" t="n"/>
      <c r="D1229" s="92" t="n"/>
      <c r="E1229" s="92" t="n"/>
      <c r="F1229" s="96" t="n"/>
      <c r="G1229" s="96" t="n"/>
      <c r="H1229" s="92" t="n"/>
      <c r="I1229" s="92" t="n"/>
      <c r="J1229" s="92" t="n"/>
      <c r="K1229" s="92" t="n"/>
      <c r="L1229" s="92" t="n"/>
      <c r="M1229" s="97" t="n"/>
      <c r="N1229" s="92" t="n"/>
      <c r="O1229" s="92" t="n"/>
      <c r="P1229" s="92" t="n"/>
    </row>
    <row r="1230" ht="32" customHeight="1">
      <c r="A1230" s="91" t="n"/>
      <c r="B1230" s="91" t="n"/>
      <c r="C1230" s="91" t="n"/>
      <c r="D1230" s="91" t="n"/>
      <c r="E1230" s="91" t="n"/>
      <c r="F1230" s="94" t="n"/>
      <c r="G1230" s="94" t="n"/>
      <c r="H1230" s="91" t="n"/>
      <c r="I1230" s="91" t="n"/>
      <c r="J1230" s="91" t="n"/>
      <c r="K1230" s="91" t="n"/>
      <c r="L1230" s="91" t="n"/>
      <c r="M1230" s="95" t="n"/>
      <c r="N1230" s="91" t="n"/>
      <c r="O1230" s="91" t="n"/>
      <c r="P1230" s="91" t="n"/>
    </row>
    <row r="1231" ht="32" customHeight="1">
      <c r="A1231" s="92" t="n"/>
      <c r="B1231" s="92" t="n"/>
      <c r="C1231" s="92" t="n"/>
      <c r="D1231" s="92" t="n"/>
      <c r="E1231" s="92" t="n"/>
      <c r="F1231" s="96" t="n"/>
      <c r="G1231" s="96" t="n"/>
      <c r="H1231" s="92" t="n"/>
      <c r="I1231" s="92" t="n"/>
      <c r="J1231" s="92" t="n"/>
      <c r="K1231" s="92" t="n"/>
      <c r="L1231" s="92" t="n"/>
      <c r="M1231" s="97" t="n"/>
      <c r="N1231" s="92" t="n"/>
      <c r="O1231" s="92" t="n"/>
      <c r="P1231" s="92" t="n"/>
    </row>
    <row r="1232" ht="32" customHeight="1">
      <c r="A1232" s="91" t="n"/>
      <c r="B1232" s="91" t="n"/>
      <c r="C1232" s="91" t="n"/>
      <c r="D1232" s="91" t="n"/>
      <c r="E1232" s="91" t="n"/>
      <c r="F1232" s="94" t="n"/>
      <c r="G1232" s="94" t="n"/>
      <c r="H1232" s="91" t="n"/>
      <c r="I1232" s="91" t="n"/>
      <c r="J1232" s="91" t="n"/>
      <c r="K1232" s="91" t="n"/>
      <c r="L1232" s="91" t="n"/>
      <c r="M1232" s="95" t="n"/>
      <c r="N1232" s="91" t="n"/>
      <c r="O1232" s="91" t="n"/>
      <c r="P1232" s="91" t="n"/>
    </row>
    <row r="1233" ht="32" customHeight="1">
      <c r="A1233" s="92" t="n"/>
      <c r="B1233" s="92" t="n"/>
      <c r="C1233" s="92" t="n"/>
      <c r="D1233" s="92" t="n"/>
      <c r="E1233" s="92" t="n"/>
      <c r="F1233" s="96" t="n"/>
      <c r="G1233" s="96" t="n"/>
      <c r="H1233" s="92" t="n"/>
      <c r="I1233" s="92" t="n"/>
      <c r="J1233" s="92" t="n"/>
      <c r="K1233" s="92" t="n"/>
      <c r="L1233" s="92" t="n"/>
      <c r="M1233" s="97" t="n"/>
      <c r="N1233" s="92" t="n"/>
      <c r="O1233" s="92" t="n"/>
      <c r="P1233" s="92" t="n"/>
    </row>
    <row r="1234" ht="32" customHeight="1">
      <c r="A1234" s="91" t="n"/>
      <c r="B1234" s="91" t="n"/>
      <c r="C1234" s="91" t="n"/>
      <c r="D1234" s="91" t="n"/>
      <c r="E1234" s="91" t="n"/>
      <c r="F1234" s="94" t="n"/>
      <c r="G1234" s="94" t="n"/>
      <c r="H1234" s="91" t="n"/>
      <c r="I1234" s="91" t="n"/>
      <c r="J1234" s="91" t="n"/>
      <c r="K1234" s="91" t="n"/>
      <c r="L1234" s="91" t="n"/>
      <c r="M1234" s="95" t="n"/>
      <c r="N1234" s="91" t="n"/>
      <c r="O1234" s="91" t="n"/>
      <c r="P1234" s="91" t="n"/>
    </row>
    <row r="1235" ht="32" customHeight="1">
      <c r="A1235" s="92" t="n"/>
      <c r="B1235" s="92" t="n"/>
      <c r="C1235" s="92" t="n"/>
      <c r="D1235" s="92" t="n"/>
      <c r="E1235" s="92" t="n"/>
      <c r="F1235" s="96" t="n"/>
      <c r="G1235" s="96" t="n"/>
      <c r="H1235" s="92" t="n"/>
      <c r="I1235" s="92" t="n"/>
      <c r="J1235" s="92" t="n"/>
      <c r="K1235" s="92" t="n"/>
      <c r="L1235" s="92" t="n"/>
      <c r="M1235" s="97" t="n"/>
      <c r="N1235" s="92" t="n"/>
      <c r="O1235" s="92" t="n"/>
      <c r="P1235" s="92" t="n"/>
    </row>
    <row r="1236" ht="32" customHeight="1">
      <c r="A1236" s="91" t="n"/>
      <c r="B1236" s="91" t="n"/>
      <c r="C1236" s="91" t="n"/>
      <c r="D1236" s="91" t="n"/>
      <c r="E1236" s="91" t="n"/>
      <c r="F1236" s="94" t="n"/>
      <c r="G1236" s="94" t="n"/>
      <c r="H1236" s="91" t="n"/>
      <c r="I1236" s="91" t="n"/>
      <c r="J1236" s="91" t="n"/>
      <c r="K1236" s="91" t="n"/>
      <c r="L1236" s="91" t="n"/>
      <c r="M1236" s="95" t="n"/>
      <c r="N1236" s="91" t="n"/>
      <c r="O1236" s="91" t="n"/>
      <c r="P1236" s="91" t="n"/>
    </row>
    <row r="1237" ht="32" customHeight="1">
      <c r="A1237" s="92" t="n"/>
      <c r="B1237" s="92" t="n"/>
      <c r="C1237" s="92" t="n"/>
      <c r="D1237" s="92" t="n"/>
      <c r="E1237" s="92" t="n"/>
      <c r="F1237" s="96" t="n"/>
      <c r="G1237" s="96" t="n"/>
      <c r="H1237" s="92" t="n"/>
      <c r="I1237" s="92" t="n"/>
      <c r="J1237" s="92" t="n"/>
      <c r="K1237" s="92" t="n"/>
      <c r="L1237" s="92" t="n"/>
      <c r="M1237" s="97" t="n"/>
      <c r="N1237" s="92" t="n"/>
      <c r="O1237" s="92" t="n"/>
      <c r="P1237" s="92" t="n"/>
    </row>
    <row r="1238" ht="32" customHeight="1">
      <c r="A1238" s="91" t="n"/>
      <c r="B1238" s="91" t="n"/>
      <c r="C1238" s="91" t="n"/>
      <c r="D1238" s="91" t="n"/>
      <c r="E1238" s="91" t="n"/>
      <c r="F1238" s="94" t="n"/>
      <c r="G1238" s="94" t="n"/>
      <c r="H1238" s="91" t="n"/>
      <c r="I1238" s="91" t="n"/>
      <c r="J1238" s="91" t="n"/>
      <c r="K1238" s="91" t="n"/>
      <c r="L1238" s="91" t="n"/>
      <c r="M1238" s="95" t="n"/>
      <c r="N1238" s="91" t="n"/>
      <c r="O1238" s="91" t="n"/>
      <c r="P1238" s="91" t="n"/>
    </row>
    <row r="1239" ht="32" customHeight="1">
      <c r="A1239" s="92" t="n"/>
      <c r="B1239" s="92" t="n"/>
      <c r="C1239" s="92" t="n"/>
      <c r="D1239" s="92" t="n"/>
      <c r="E1239" s="92" t="n"/>
      <c r="F1239" s="96" t="n"/>
      <c r="G1239" s="96" t="n"/>
      <c r="H1239" s="92" t="n"/>
      <c r="I1239" s="92" t="n"/>
      <c r="J1239" s="92" t="n"/>
      <c r="K1239" s="92" t="n"/>
      <c r="L1239" s="92" t="n"/>
      <c r="M1239" s="97" t="n"/>
      <c r="N1239" s="92" t="n"/>
      <c r="O1239" s="92" t="n"/>
      <c r="P1239" s="92" t="n"/>
    </row>
    <row r="1240" ht="32" customHeight="1">
      <c r="A1240" s="91" t="n"/>
      <c r="B1240" s="91" t="n"/>
      <c r="C1240" s="91" t="n"/>
      <c r="D1240" s="91" t="n"/>
      <c r="E1240" s="91" t="n"/>
      <c r="F1240" s="94" t="n"/>
      <c r="G1240" s="94" t="n"/>
      <c r="H1240" s="91" t="n"/>
      <c r="I1240" s="91" t="n"/>
      <c r="J1240" s="91" t="n"/>
      <c r="K1240" s="91" t="n"/>
      <c r="L1240" s="91" t="n"/>
      <c r="M1240" s="95" t="n"/>
      <c r="N1240" s="91" t="n"/>
      <c r="O1240" s="91" t="n"/>
      <c r="P1240" s="91" t="n"/>
    </row>
    <row r="1241" ht="32" customHeight="1">
      <c r="A1241" s="92" t="n"/>
      <c r="B1241" s="92" t="n"/>
      <c r="C1241" s="92" t="n"/>
      <c r="D1241" s="92" t="n"/>
      <c r="E1241" s="92" t="n"/>
      <c r="F1241" s="96" t="n"/>
      <c r="G1241" s="96" t="n"/>
      <c r="H1241" s="92" t="n"/>
      <c r="I1241" s="92" t="n"/>
      <c r="J1241" s="92" t="n"/>
      <c r="K1241" s="92" t="n"/>
      <c r="L1241" s="92" t="n"/>
      <c r="M1241" s="97" t="n"/>
      <c r="N1241" s="92" t="n"/>
      <c r="O1241" s="92" t="n"/>
      <c r="P1241" s="92" t="n"/>
    </row>
    <row r="1242" ht="32" customHeight="1">
      <c r="A1242" s="91" t="n"/>
      <c r="B1242" s="91" t="n"/>
      <c r="C1242" s="91" t="n"/>
      <c r="D1242" s="91" t="n"/>
      <c r="E1242" s="91" t="n"/>
      <c r="F1242" s="94" t="n"/>
      <c r="G1242" s="94" t="n"/>
      <c r="H1242" s="91" t="n"/>
      <c r="I1242" s="91" t="n"/>
      <c r="J1242" s="91" t="n"/>
      <c r="K1242" s="91" t="n"/>
      <c r="L1242" s="91" t="n"/>
      <c r="M1242" s="95" t="n"/>
      <c r="N1242" s="91" t="n"/>
      <c r="O1242" s="91" t="n"/>
      <c r="P1242" s="91" t="n"/>
    </row>
    <row r="1243" ht="32" customHeight="1">
      <c r="A1243" s="92" t="n"/>
      <c r="B1243" s="92" t="n"/>
      <c r="C1243" s="92" t="n"/>
      <c r="D1243" s="92" t="n"/>
      <c r="E1243" s="92" t="n"/>
      <c r="F1243" s="96" t="n"/>
      <c r="G1243" s="96" t="n"/>
      <c r="H1243" s="92" t="n"/>
      <c r="I1243" s="92" t="n"/>
      <c r="J1243" s="92" t="n"/>
      <c r="K1243" s="92" t="n"/>
      <c r="L1243" s="92" t="n"/>
      <c r="M1243" s="97" t="n"/>
      <c r="N1243" s="92" t="n"/>
      <c r="O1243" s="92" t="n"/>
      <c r="P1243" s="92" t="n"/>
    </row>
    <row r="1244" ht="32" customHeight="1">
      <c r="A1244" s="91" t="n"/>
      <c r="B1244" s="91" t="n"/>
      <c r="C1244" s="91" t="n"/>
      <c r="D1244" s="91" t="n"/>
      <c r="E1244" s="91" t="n"/>
      <c r="F1244" s="94" t="n"/>
      <c r="G1244" s="94" t="n"/>
      <c r="H1244" s="91" t="n"/>
      <c r="I1244" s="91" t="n"/>
      <c r="J1244" s="91" t="n"/>
      <c r="K1244" s="91" t="n"/>
      <c r="L1244" s="91" t="n"/>
      <c r="M1244" s="95" t="n"/>
      <c r="N1244" s="91" t="n"/>
      <c r="O1244" s="91" t="n"/>
      <c r="P1244" s="91" t="n"/>
    </row>
    <row r="1245" ht="32" customHeight="1">
      <c r="A1245" s="92" t="n"/>
      <c r="B1245" s="92" t="n"/>
      <c r="C1245" s="92" t="n"/>
      <c r="D1245" s="92" t="n"/>
      <c r="E1245" s="92" t="n"/>
      <c r="F1245" s="96" t="n"/>
      <c r="G1245" s="96" t="n"/>
      <c r="H1245" s="92" t="n"/>
      <c r="I1245" s="92" t="n"/>
      <c r="J1245" s="92" t="n"/>
      <c r="K1245" s="92" t="n"/>
      <c r="L1245" s="92" t="n"/>
      <c r="M1245" s="97" t="n"/>
      <c r="N1245" s="92" t="n"/>
      <c r="O1245" s="92" t="n"/>
      <c r="P1245" s="92" t="n"/>
    </row>
    <row r="1246" ht="32" customHeight="1">
      <c r="A1246" s="91" t="n"/>
      <c r="B1246" s="91" t="n"/>
      <c r="C1246" s="91" t="n"/>
      <c r="D1246" s="91" t="n"/>
      <c r="E1246" s="91" t="n"/>
      <c r="F1246" s="94" t="n"/>
      <c r="G1246" s="94" t="n"/>
      <c r="H1246" s="91" t="n"/>
      <c r="I1246" s="91" t="n"/>
      <c r="J1246" s="91" t="n"/>
      <c r="K1246" s="91" t="n"/>
      <c r="L1246" s="91" t="n"/>
      <c r="M1246" s="95" t="n"/>
      <c r="N1246" s="91" t="n"/>
      <c r="O1246" s="91" t="n"/>
      <c r="P1246" s="91" t="n"/>
    </row>
    <row r="1247" ht="32" customHeight="1">
      <c r="A1247" s="92" t="n"/>
      <c r="B1247" s="92" t="n"/>
      <c r="C1247" s="92" t="n"/>
      <c r="D1247" s="92" t="n"/>
      <c r="E1247" s="92" t="n"/>
      <c r="F1247" s="96" t="n"/>
      <c r="G1247" s="96" t="n"/>
      <c r="H1247" s="92" t="n"/>
      <c r="I1247" s="92" t="n"/>
      <c r="J1247" s="92" t="n"/>
      <c r="K1247" s="92" t="n"/>
      <c r="L1247" s="92" t="n"/>
      <c r="M1247" s="97" t="n"/>
      <c r="N1247" s="92" t="n"/>
      <c r="O1247" s="92" t="n"/>
      <c r="P1247" s="92" t="n"/>
    </row>
    <row r="1248" ht="32" customHeight="1">
      <c r="A1248" s="91" t="n"/>
      <c r="B1248" s="91" t="n"/>
      <c r="C1248" s="91" t="n"/>
      <c r="D1248" s="91" t="n"/>
      <c r="E1248" s="91" t="n"/>
      <c r="F1248" s="94" t="n"/>
      <c r="G1248" s="94" t="n"/>
      <c r="H1248" s="91" t="n"/>
      <c r="I1248" s="91" t="n"/>
      <c r="J1248" s="91" t="n"/>
      <c r="K1248" s="91" t="n"/>
      <c r="L1248" s="91" t="n"/>
      <c r="M1248" s="95" t="n"/>
      <c r="N1248" s="91" t="n"/>
      <c r="O1248" s="91" t="n"/>
      <c r="P1248" s="91" t="n"/>
    </row>
    <row r="1249" ht="32" customHeight="1">
      <c r="A1249" s="92" t="n"/>
      <c r="B1249" s="92" t="n"/>
      <c r="C1249" s="92" t="n"/>
      <c r="D1249" s="92" t="n"/>
      <c r="E1249" s="92" t="n"/>
      <c r="F1249" s="96" t="n"/>
      <c r="G1249" s="96" t="n"/>
      <c r="H1249" s="92" t="n"/>
      <c r="I1249" s="92" t="n"/>
      <c r="J1249" s="92" t="n"/>
      <c r="K1249" s="92" t="n"/>
      <c r="L1249" s="92" t="n"/>
      <c r="M1249" s="97" t="n"/>
      <c r="N1249" s="92" t="n"/>
      <c r="O1249" s="92" t="n"/>
      <c r="P1249" s="92" t="n"/>
    </row>
    <row r="1250" ht="32" customHeight="1">
      <c r="A1250" s="91" t="n"/>
      <c r="B1250" s="91" t="n"/>
      <c r="C1250" s="91" t="n"/>
      <c r="D1250" s="91" t="n"/>
      <c r="E1250" s="91" t="n"/>
      <c r="F1250" s="94" t="n"/>
      <c r="G1250" s="94" t="n"/>
      <c r="H1250" s="91" t="n"/>
      <c r="I1250" s="91" t="n"/>
      <c r="J1250" s="91" t="n"/>
      <c r="K1250" s="91" t="n"/>
      <c r="L1250" s="91" t="n"/>
      <c r="M1250" s="95" t="n"/>
      <c r="N1250" s="91" t="n"/>
      <c r="O1250" s="91" t="n"/>
      <c r="P1250" s="91" t="n"/>
    </row>
    <row r="1251" ht="32" customHeight="1">
      <c r="A1251" s="92" t="n"/>
      <c r="B1251" s="92" t="n"/>
      <c r="C1251" s="92" t="n"/>
      <c r="D1251" s="92" t="n"/>
      <c r="E1251" s="92" t="n"/>
      <c r="F1251" s="96" t="n"/>
      <c r="G1251" s="96" t="n"/>
      <c r="H1251" s="92" t="n"/>
      <c r="I1251" s="92" t="n"/>
      <c r="J1251" s="92" t="n"/>
      <c r="K1251" s="92" t="n"/>
      <c r="L1251" s="92" t="n"/>
      <c r="M1251" s="97" t="n"/>
      <c r="N1251" s="92" t="n"/>
      <c r="O1251" s="92" t="n"/>
      <c r="P1251" s="92" t="n"/>
    </row>
    <row r="1252" ht="32" customHeight="1">
      <c r="A1252" s="91" t="n"/>
      <c r="B1252" s="91" t="n"/>
      <c r="C1252" s="91" t="n"/>
      <c r="D1252" s="91" t="n"/>
      <c r="E1252" s="91" t="n"/>
      <c r="F1252" s="94" t="n"/>
      <c r="G1252" s="94" t="n"/>
      <c r="H1252" s="91" t="n"/>
      <c r="I1252" s="91" t="n"/>
      <c r="J1252" s="91" t="n"/>
      <c r="K1252" s="91" t="n"/>
      <c r="L1252" s="91" t="n"/>
      <c r="M1252" s="95" t="n"/>
      <c r="N1252" s="91" t="n"/>
      <c r="O1252" s="91" t="n"/>
      <c r="P1252" s="91" t="n"/>
    </row>
    <row r="1253" ht="32" customHeight="1">
      <c r="A1253" s="92" t="n"/>
      <c r="B1253" s="92" t="n"/>
      <c r="C1253" s="92" t="n"/>
      <c r="D1253" s="92" t="n"/>
      <c r="E1253" s="92" t="n"/>
      <c r="F1253" s="96" t="n"/>
      <c r="G1253" s="96" t="n"/>
      <c r="H1253" s="92" t="n"/>
      <c r="I1253" s="92" t="n"/>
      <c r="J1253" s="92" t="n"/>
      <c r="K1253" s="92" t="n"/>
      <c r="L1253" s="92" t="n"/>
      <c r="M1253" s="97" t="n"/>
      <c r="N1253" s="92" t="n"/>
      <c r="O1253" s="92" t="n"/>
      <c r="P1253" s="92" t="n"/>
    </row>
    <row r="1254" ht="32" customHeight="1">
      <c r="A1254" s="91" t="n"/>
      <c r="B1254" s="91" t="n"/>
      <c r="C1254" s="91" t="n"/>
      <c r="D1254" s="91" t="n"/>
      <c r="E1254" s="91" t="n"/>
      <c r="F1254" s="94" t="n"/>
      <c r="G1254" s="94" t="n"/>
      <c r="H1254" s="91" t="n"/>
      <c r="I1254" s="91" t="n"/>
      <c r="J1254" s="91" t="n"/>
      <c r="K1254" s="91" t="n"/>
      <c r="L1254" s="91" t="n"/>
      <c r="M1254" s="95" t="n"/>
      <c r="N1254" s="91" t="n"/>
      <c r="O1254" s="91" t="n"/>
      <c r="P1254" s="91" t="n"/>
    </row>
    <row r="1255" ht="32" customHeight="1">
      <c r="A1255" s="92" t="n"/>
      <c r="B1255" s="92" t="n"/>
      <c r="C1255" s="92" t="n"/>
      <c r="D1255" s="92" t="n"/>
      <c r="E1255" s="92" t="n"/>
      <c r="F1255" s="96" t="n"/>
      <c r="G1255" s="96" t="n"/>
      <c r="H1255" s="92" t="n"/>
      <c r="I1255" s="92" t="n"/>
      <c r="J1255" s="92" t="n"/>
      <c r="K1255" s="92" t="n"/>
      <c r="L1255" s="92" t="n"/>
      <c r="M1255" s="97" t="n"/>
      <c r="N1255" s="92" t="n"/>
      <c r="O1255" s="92" t="n"/>
      <c r="P1255" s="92" t="n"/>
    </row>
    <row r="1256" ht="32" customHeight="1">
      <c r="A1256" s="91" t="n"/>
      <c r="B1256" s="91" t="n"/>
      <c r="C1256" s="91" t="n"/>
      <c r="D1256" s="91" t="n"/>
      <c r="E1256" s="91" t="n"/>
      <c r="F1256" s="94" t="n"/>
      <c r="G1256" s="94" t="n"/>
      <c r="H1256" s="91" t="n"/>
      <c r="I1256" s="91" t="n"/>
      <c r="J1256" s="91" t="n"/>
      <c r="K1256" s="91" t="n"/>
      <c r="L1256" s="91" t="n"/>
      <c r="M1256" s="95" t="n"/>
      <c r="N1256" s="91" t="n"/>
      <c r="O1256" s="91" t="n"/>
      <c r="P1256" s="91" t="n"/>
    </row>
    <row r="1257" ht="32" customHeight="1">
      <c r="A1257" s="92" t="n"/>
      <c r="B1257" s="92" t="n"/>
      <c r="C1257" s="92" t="n"/>
      <c r="D1257" s="92" t="n"/>
      <c r="E1257" s="92" t="n"/>
      <c r="F1257" s="96" t="n"/>
      <c r="G1257" s="96" t="n"/>
      <c r="H1257" s="92" t="n"/>
      <c r="I1257" s="92" t="n"/>
      <c r="J1257" s="92" t="n"/>
      <c r="K1257" s="92" t="n"/>
      <c r="L1257" s="92" t="n"/>
      <c r="M1257" s="97" t="n"/>
      <c r="N1257" s="92" t="n"/>
      <c r="O1257" s="92" t="n"/>
      <c r="P1257" s="92" t="n"/>
    </row>
    <row r="1258" ht="32" customHeight="1">
      <c r="A1258" s="91" t="n"/>
      <c r="B1258" s="91" t="n"/>
      <c r="C1258" s="91" t="n"/>
      <c r="D1258" s="91" t="n"/>
      <c r="E1258" s="91" t="n"/>
      <c r="F1258" s="94" t="n"/>
      <c r="G1258" s="94" t="n"/>
      <c r="H1258" s="91" t="n"/>
      <c r="I1258" s="91" t="n"/>
      <c r="J1258" s="91" t="n"/>
      <c r="K1258" s="91" t="n"/>
      <c r="L1258" s="91" t="n"/>
      <c r="M1258" s="95" t="n"/>
      <c r="N1258" s="91" t="n"/>
      <c r="O1258" s="91" t="n"/>
      <c r="P1258" s="91" t="n"/>
    </row>
    <row r="1259" ht="32" customHeight="1">
      <c r="A1259" s="92" t="n"/>
      <c r="B1259" s="92" t="n"/>
      <c r="C1259" s="92" t="n"/>
      <c r="D1259" s="92" t="n"/>
      <c r="E1259" s="92" t="n"/>
      <c r="F1259" s="96" t="n"/>
      <c r="G1259" s="96" t="n"/>
      <c r="H1259" s="92" t="n"/>
      <c r="I1259" s="92" t="n"/>
      <c r="J1259" s="92" t="n"/>
      <c r="K1259" s="92" t="n"/>
      <c r="L1259" s="92" t="n"/>
      <c r="M1259" s="97" t="n"/>
      <c r="N1259" s="92" t="n"/>
      <c r="O1259" s="92" t="n"/>
      <c r="P1259" s="92" t="n"/>
    </row>
    <row r="1260" ht="32" customHeight="1">
      <c r="A1260" s="91" t="n"/>
      <c r="B1260" s="91" t="n"/>
      <c r="C1260" s="91" t="n"/>
      <c r="D1260" s="91" t="n"/>
      <c r="E1260" s="91" t="n"/>
      <c r="F1260" s="94" t="n"/>
      <c r="G1260" s="94" t="n"/>
      <c r="H1260" s="91" t="n"/>
      <c r="I1260" s="91" t="n"/>
      <c r="J1260" s="91" t="n"/>
      <c r="K1260" s="91" t="n"/>
      <c r="L1260" s="91" t="n"/>
      <c r="M1260" s="95" t="n"/>
      <c r="N1260" s="91" t="n"/>
      <c r="O1260" s="91" t="n"/>
      <c r="P1260" s="91" t="n"/>
    </row>
    <row r="1261" ht="32" customHeight="1">
      <c r="A1261" s="92" t="n"/>
      <c r="B1261" s="92" t="n"/>
      <c r="C1261" s="92" t="n"/>
      <c r="D1261" s="92" t="n"/>
      <c r="E1261" s="92" t="n"/>
      <c r="F1261" s="96" t="n"/>
      <c r="G1261" s="96" t="n"/>
      <c r="H1261" s="92" t="n"/>
      <c r="I1261" s="92" t="n"/>
      <c r="J1261" s="92" t="n"/>
      <c r="K1261" s="92" t="n"/>
      <c r="L1261" s="92" t="n"/>
      <c r="M1261" s="97" t="n"/>
      <c r="N1261" s="92" t="n"/>
      <c r="O1261" s="92" t="n"/>
      <c r="P1261" s="92" t="n"/>
    </row>
    <row r="1262" ht="32" customHeight="1">
      <c r="A1262" s="91" t="n"/>
      <c r="B1262" s="91" t="n"/>
      <c r="C1262" s="91" t="n"/>
      <c r="D1262" s="91" t="n"/>
      <c r="E1262" s="91" t="n"/>
      <c r="F1262" s="94" t="n"/>
      <c r="G1262" s="94" t="n"/>
      <c r="H1262" s="91" t="n"/>
      <c r="I1262" s="91" t="n"/>
      <c r="J1262" s="91" t="n"/>
      <c r="K1262" s="91" t="n"/>
      <c r="L1262" s="91" t="n"/>
      <c r="M1262" s="95" t="n"/>
      <c r="N1262" s="91" t="n"/>
      <c r="O1262" s="91" t="n"/>
      <c r="P1262" s="91" t="n"/>
    </row>
    <row r="1263" ht="32" customHeight="1">
      <c r="A1263" s="92" t="n"/>
      <c r="B1263" s="92" t="n"/>
      <c r="C1263" s="92" t="n"/>
      <c r="D1263" s="92" t="n"/>
      <c r="E1263" s="92" t="n"/>
      <c r="F1263" s="96" t="n"/>
      <c r="G1263" s="96" t="n"/>
      <c r="H1263" s="92" t="n"/>
      <c r="I1263" s="92" t="n"/>
      <c r="J1263" s="92" t="n"/>
      <c r="K1263" s="92" t="n"/>
      <c r="L1263" s="92" t="n"/>
      <c r="M1263" s="97" t="n"/>
      <c r="N1263" s="92" t="n"/>
      <c r="O1263" s="92" t="n"/>
      <c r="P1263" s="92" t="n"/>
    </row>
    <row r="1264" ht="32" customHeight="1">
      <c r="A1264" s="91" t="n"/>
      <c r="B1264" s="91" t="n"/>
      <c r="C1264" s="91" t="n"/>
      <c r="D1264" s="91" t="n"/>
      <c r="E1264" s="91" t="n"/>
      <c r="F1264" s="94" t="n"/>
      <c r="G1264" s="94" t="n"/>
      <c r="H1264" s="91" t="n"/>
      <c r="I1264" s="91" t="n"/>
      <c r="J1264" s="91" t="n"/>
      <c r="K1264" s="91" t="n"/>
      <c r="L1264" s="91" t="n"/>
      <c r="M1264" s="95" t="n"/>
      <c r="N1264" s="91" t="n"/>
      <c r="O1264" s="91" t="n"/>
      <c r="P1264" s="91" t="n"/>
    </row>
    <row r="1265" ht="32" customHeight="1">
      <c r="A1265" s="92" t="n"/>
      <c r="B1265" s="92" t="n"/>
      <c r="C1265" s="92" t="n"/>
      <c r="D1265" s="92" t="n"/>
      <c r="E1265" s="92" t="n"/>
      <c r="F1265" s="96" t="n"/>
      <c r="G1265" s="96" t="n"/>
      <c r="H1265" s="92" t="n"/>
      <c r="I1265" s="92" t="n"/>
      <c r="J1265" s="92" t="n"/>
      <c r="K1265" s="92" t="n"/>
      <c r="L1265" s="92" t="n"/>
      <c r="M1265" s="97" t="n"/>
      <c r="N1265" s="92" t="n"/>
      <c r="O1265" s="92" t="n"/>
      <c r="P1265" s="92" t="n"/>
    </row>
    <row r="1266" ht="32" customHeight="1">
      <c r="A1266" s="91" t="n"/>
      <c r="B1266" s="91" t="n"/>
      <c r="C1266" s="91" t="n"/>
      <c r="D1266" s="91" t="n"/>
      <c r="E1266" s="91" t="n"/>
      <c r="F1266" s="94" t="n"/>
      <c r="G1266" s="94" t="n"/>
      <c r="H1266" s="91" t="n"/>
      <c r="I1266" s="91" t="n"/>
      <c r="J1266" s="91" t="n"/>
      <c r="K1266" s="91" t="n"/>
      <c r="L1266" s="91" t="n"/>
      <c r="M1266" s="95" t="n"/>
      <c r="N1266" s="91" t="n"/>
      <c r="O1266" s="91" t="n"/>
      <c r="P1266" s="91" t="n"/>
    </row>
    <row r="1267" ht="32" customHeight="1">
      <c r="A1267" s="92" t="n"/>
      <c r="B1267" s="92" t="n"/>
      <c r="C1267" s="92" t="n"/>
      <c r="D1267" s="92" t="n"/>
      <c r="E1267" s="92" t="n"/>
      <c r="F1267" s="96" t="n"/>
      <c r="G1267" s="96" t="n"/>
      <c r="H1267" s="92" t="n"/>
      <c r="I1267" s="92" t="n"/>
      <c r="J1267" s="92" t="n"/>
      <c r="K1267" s="92" t="n"/>
      <c r="L1267" s="92" t="n"/>
      <c r="M1267" s="97" t="n"/>
      <c r="N1267" s="92" t="n"/>
      <c r="O1267" s="92" t="n"/>
      <c r="P1267" s="92" t="n"/>
    </row>
    <row r="1268" ht="32" customHeight="1">
      <c r="A1268" s="91" t="n"/>
      <c r="B1268" s="91" t="n"/>
      <c r="C1268" s="91" t="n"/>
      <c r="D1268" s="91" t="n"/>
      <c r="E1268" s="91" t="n"/>
      <c r="F1268" s="94" t="n"/>
      <c r="G1268" s="94" t="n"/>
      <c r="H1268" s="91" t="n"/>
      <c r="I1268" s="91" t="n"/>
      <c r="J1268" s="91" t="n"/>
      <c r="K1268" s="91" t="n"/>
      <c r="L1268" s="91" t="n"/>
      <c r="M1268" s="95" t="n"/>
      <c r="N1268" s="91" t="n"/>
      <c r="O1268" s="91" t="n"/>
      <c r="P1268" s="91" t="n"/>
    </row>
    <row r="1269" ht="32" customHeight="1">
      <c r="A1269" s="92" t="n"/>
      <c r="B1269" s="92" t="n"/>
      <c r="C1269" s="92" t="n"/>
      <c r="D1269" s="92" t="n"/>
      <c r="E1269" s="92" t="n"/>
      <c r="F1269" s="96" t="n"/>
      <c r="G1269" s="96" t="n"/>
      <c r="H1269" s="92" t="n"/>
      <c r="I1269" s="92" t="n"/>
      <c r="J1269" s="92" t="n"/>
      <c r="K1269" s="92" t="n"/>
      <c r="L1269" s="92" t="n"/>
      <c r="M1269" s="97" t="n"/>
      <c r="N1269" s="92" t="n"/>
      <c r="O1269" s="92" t="n"/>
      <c r="P1269" s="92" t="n"/>
    </row>
    <row r="1270" ht="32" customHeight="1">
      <c r="A1270" s="91" t="n"/>
      <c r="B1270" s="91" t="n"/>
      <c r="C1270" s="91" t="n"/>
      <c r="D1270" s="91" t="n"/>
      <c r="E1270" s="91" t="n"/>
      <c r="F1270" s="94" t="n"/>
      <c r="G1270" s="94" t="n"/>
      <c r="H1270" s="91" t="n"/>
      <c r="I1270" s="91" t="n"/>
      <c r="J1270" s="91" t="n"/>
      <c r="K1270" s="91" t="n"/>
      <c r="L1270" s="91" t="n"/>
      <c r="M1270" s="95" t="n"/>
      <c r="N1270" s="91" t="n"/>
      <c r="O1270" s="91" t="n"/>
      <c r="P1270" s="91" t="n"/>
    </row>
    <row r="1271" ht="32" customHeight="1">
      <c r="A1271" s="92" t="n"/>
      <c r="B1271" s="92" t="n"/>
      <c r="C1271" s="92" t="n"/>
      <c r="D1271" s="92" t="n"/>
      <c r="E1271" s="92" t="n"/>
      <c r="F1271" s="96" t="n"/>
      <c r="G1271" s="96" t="n"/>
      <c r="H1271" s="92" t="n"/>
      <c r="I1271" s="92" t="n"/>
      <c r="J1271" s="92" t="n"/>
      <c r="K1271" s="92" t="n"/>
      <c r="L1271" s="92" t="n"/>
      <c r="M1271" s="97" t="n"/>
      <c r="N1271" s="92" t="n"/>
      <c r="O1271" s="92" t="n"/>
      <c r="P1271" s="92" t="n"/>
    </row>
    <row r="1272" ht="32" customHeight="1">
      <c r="A1272" s="91" t="n"/>
      <c r="B1272" s="91" t="n"/>
      <c r="C1272" s="91" t="n"/>
      <c r="D1272" s="91" t="n"/>
      <c r="E1272" s="91" t="n"/>
      <c r="F1272" s="94" t="n"/>
      <c r="G1272" s="94" t="n"/>
      <c r="H1272" s="91" t="n"/>
      <c r="I1272" s="91" t="n"/>
      <c r="J1272" s="91" t="n"/>
      <c r="K1272" s="91" t="n"/>
      <c r="L1272" s="91" t="n"/>
      <c r="M1272" s="95" t="n"/>
      <c r="N1272" s="91" t="n"/>
      <c r="O1272" s="91" t="n"/>
      <c r="P1272" s="91" t="n"/>
    </row>
    <row r="1273" ht="32" customHeight="1">
      <c r="A1273" s="92" t="n"/>
      <c r="B1273" s="92" t="n"/>
      <c r="C1273" s="92" t="n"/>
      <c r="D1273" s="92" t="n"/>
      <c r="E1273" s="92" t="n"/>
      <c r="F1273" s="96" t="n"/>
      <c r="G1273" s="96" t="n"/>
      <c r="H1273" s="92" t="n"/>
      <c r="I1273" s="92" t="n"/>
      <c r="J1273" s="92" t="n"/>
      <c r="K1273" s="92" t="n"/>
      <c r="L1273" s="92" t="n"/>
      <c r="M1273" s="97" t="n"/>
      <c r="N1273" s="92" t="n"/>
      <c r="O1273" s="92" t="n"/>
      <c r="P1273" s="92" t="n"/>
    </row>
    <row r="1274" ht="32" customHeight="1">
      <c r="A1274" s="91" t="n"/>
      <c r="B1274" s="91" t="n"/>
      <c r="C1274" s="91" t="n"/>
      <c r="D1274" s="91" t="n"/>
      <c r="E1274" s="91" t="n"/>
      <c r="F1274" s="94" t="n"/>
      <c r="G1274" s="94" t="n"/>
      <c r="H1274" s="91" t="n"/>
      <c r="I1274" s="91" t="n"/>
      <c r="J1274" s="91" t="n"/>
      <c r="K1274" s="91" t="n"/>
      <c r="L1274" s="91" t="n"/>
      <c r="M1274" s="95" t="n"/>
      <c r="N1274" s="91" t="n"/>
      <c r="O1274" s="91" t="n"/>
      <c r="P1274" s="91" t="n"/>
    </row>
    <row r="1275" ht="32" customHeight="1">
      <c r="A1275" s="92" t="n"/>
      <c r="B1275" s="92" t="n"/>
      <c r="C1275" s="92" t="n"/>
      <c r="D1275" s="92" t="n"/>
      <c r="E1275" s="92" t="n"/>
      <c r="F1275" s="96" t="n"/>
      <c r="G1275" s="96" t="n"/>
      <c r="H1275" s="92" t="n"/>
      <c r="I1275" s="92" t="n"/>
      <c r="J1275" s="92" t="n"/>
      <c r="K1275" s="92" t="n"/>
      <c r="L1275" s="92" t="n"/>
      <c r="M1275" s="97" t="n"/>
      <c r="N1275" s="92" t="n"/>
      <c r="O1275" s="92" t="n"/>
      <c r="P1275" s="92" t="n"/>
    </row>
    <row r="1276" ht="32" customHeight="1">
      <c r="A1276" s="91" t="n"/>
      <c r="B1276" s="91" t="n"/>
      <c r="C1276" s="91" t="n"/>
      <c r="D1276" s="91" t="n"/>
      <c r="E1276" s="91" t="n"/>
      <c r="F1276" s="94" t="n"/>
      <c r="G1276" s="94" t="n"/>
      <c r="H1276" s="91" t="n"/>
      <c r="I1276" s="91" t="n"/>
      <c r="J1276" s="91" t="n"/>
      <c r="K1276" s="91" t="n"/>
      <c r="L1276" s="91" t="n"/>
      <c r="M1276" s="95" t="n"/>
      <c r="N1276" s="91" t="n"/>
      <c r="O1276" s="91" t="n"/>
      <c r="P1276" s="91" t="n"/>
    </row>
    <row r="1277" ht="32" customHeight="1">
      <c r="A1277" s="92" t="n"/>
      <c r="B1277" s="92" t="n"/>
      <c r="C1277" s="92" t="n"/>
      <c r="D1277" s="92" t="n"/>
      <c r="E1277" s="92" t="n"/>
      <c r="F1277" s="96" t="n"/>
      <c r="G1277" s="96" t="n"/>
      <c r="H1277" s="92" t="n"/>
      <c r="I1277" s="92" t="n"/>
      <c r="J1277" s="92" t="n"/>
      <c r="K1277" s="92" t="n"/>
      <c r="L1277" s="92" t="n"/>
      <c r="M1277" s="97" t="n"/>
      <c r="N1277" s="92" t="n"/>
      <c r="O1277" s="92" t="n"/>
      <c r="P1277" s="92" t="n"/>
    </row>
    <row r="1278" ht="32" customHeight="1">
      <c r="A1278" s="91" t="n"/>
      <c r="B1278" s="91" t="n"/>
      <c r="C1278" s="91" t="n"/>
      <c r="D1278" s="91" t="n"/>
      <c r="E1278" s="91" t="n"/>
      <c r="F1278" s="94" t="n"/>
      <c r="G1278" s="94" t="n"/>
      <c r="H1278" s="91" t="n"/>
      <c r="I1278" s="91" t="n"/>
      <c r="J1278" s="91" t="n"/>
      <c r="K1278" s="91" t="n"/>
      <c r="L1278" s="91" t="n"/>
      <c r="M1278" s="95" t="n"/>
      <c r="N1278" s="91" t="n"/>
      <c r="O1278" s="91" t="n"/>
      <c r="P1278" s="91" t="n"/>
    </row>
    <row r="1279" ht="32" customHeight="1">
      <c r="A1279" s="92" t="n"/>
      <c r="B1279" s="92" t="n"/>
      <c r="C1279" s="92" t="n"/>
      <c r="D1279" s="92" t="n"/>
      <c r="E1279" s="92" t="n"/>
      <c r="F1279" s="96" t="n"/>
      <c r="G1279" s="96" t="n"/>
      <c r="H1279" s="92" t="n"/>
      <c r="I1279" s="92" t="n"/>
      <c r="J1279" s="92" t="n"/>
      <c r="K1279" s="92" t="n"/>
      <c r="L1279" s="92" t="n"/>
      <c r="M1279" s="97" t="n"/>
      <c r="N1279" s="92" t="n"/>
      <c r="O1279" s="92" t="n"/>
      <c r="P1279" s="92" t="n"/>
    </row>
    <row r="1280" ht="32" customHeight="1">
      <c r="A1280" s="91" t="n"/>
      <c r="B1280" s="91" t="n"/>
      <c r="C1280" s="91" t="n"/>
      <c r="D1280" s="91" t="n"/>
      <c r="E1280" s="91" t="n"/>
      <c r="F1280" s="94" t="n"/>
      <c r="G1280" s="94" t="n"/>
      <c r="H1280" s="91" t="n"/>
      <c r="I1280" s="91" t="n"/>
      <c r="J1280" s="91" t="n"/>
      <c r="K1280" s="91" t="n"/>
      <c r="L1280" s="91" t="n"/>
      <c r="M1280" s="95" t="n"/>
      <c r="N1280" s="91" t="n"/>
      <c r="O1280" s="91" t="n"/>
      <c r="P1280" s="91" t="n"/>
    </row>
    <row r="1281" ht="32" customHeight="1">
      <c r="A1281" s="92" t="n"/>
      <c r="B1281" s="92" t="n"/>
      <c r="C1281" s="92" t="n"/>
      <c r="D1281" s="92" t="n"/>
      <c r="E1281" s="92" t="n"/>
      <c r="F1281" s="96" t="n"/>
      <c r="G1281" s="96" t="n"/>
      <c r="H1281" s="92" t="n"/>
      <c r="I1281" s="92" t="n"/>
      <c r="J1281" s="92" t="n"/>
      <c r="K1281" s="92" t="n"/>
      <c r="L1281" s="92" t="n"/>
      <c r="M1281" s="97" t="n"/>
      <c r="N1281" s="92" t="n"/>
      <c r="O1281" s="92" t="n"/>
      <c r="P1281" s="92" t="n"/>
    </row>
    <row r="1282" ht="32" customHeight="1">
      <c r="A1282" s="91" t="n"/>
      <c r="B1282" s="91" t="n"/>
      <c r="C1282" s="91" t="n"/>
      <c r="D1282" s="91" t="n"/>
      <c r="E1282" s="91" t="n"/>
      <c r="F1282" s="94" t="n"/>
      <c r="G1282" s="94" t="n"/>
      <c r="H1282" s="91" t="n"/>
      <c r="I1282" s="91" t="n"/>
      <c r="J1282" s="91" t="n"/>
      <c r="K1282" s="91" t="n"/>
      <c r="L1282" s="91" t="n"/>
      <c r="M1282" s="95" t="n"/>
      <c r="N1282" s="91" t="n"/>
      <c r="O1282" s="91" t="n"/>
      <c r="P1282" s="91" t="n"/>
    </row>
    <row r="1283" ht="32" customHeight="1">
      <c r="A1283" s="92" t="n"/>
      <c r="B1283" s="92" t="n"/>
      <c r="C1283" s="92" t="n"/>
      <c r="D1283" s="92" t="n"/>
      <c r="E1283" s="92" t="n"/>
      <c r="F1283" s="96" t="n"/>
      <c r="G1283" s="96" t="n"/>
      <c r="H1283" s="92" t="n"/>
      <c r="I1283" s="92" t="n"/>
      <c r="J1283" s="92" t="n"/>
      <c r="K1283" s="92" t="n"/>
      <c r="L1283" s="92" t="n"/>
      <c r="M1283" s="97" t="n"/>
      <c r="N1283" s="92" t="n"/>
      <c r="O1283" s="92" t="n"/>
      <c r="P1283" s="92" t="n"/>
    </row>
    <row r="1284" ht="32" customHeight="1">
      <c r="A1284" s="91" t="n"/>
      <c r="B1284" s="91" t="n"/>
      <c r="C1284" s="91" t="n"/>
      <c r="D1284" s="91" t="n"/>
      <c r="E1284" s="91" t="n"/>
      <c r="F1284" s="94" t="n"/>
      <c r="G1284" s="94" t="n"/>
      <c r="H1284" s="91" t="n"/>
      <c r="I1284" s="91" t="n"/>
      <c r="J1284" s="91" t="n"/>
      <c r="K1284" s="91" t="n"/>
      <c r="L1284" s="91" t="n"/>
      <c r="M1284" s="95" t="n"/>
      <c r="N1284" s="91" t="n"/>
      <c r="O1284" s="91" t="n"/>
      <c r="P1284" s="91" t="n"/>
    </row>
    <row r="1285" ht="32" customHeight="1">
      <c r="A1285" s="92" t="n"/>
      <c r="B1285" s="92" t="n"/>
      <c r="C1285" s="92" t="n"/>
      <c r="D1285" s="92" t="n"/>
      <c r="E1285" s="92" t="n"/>
      <c r="F1285" s="96" t="n"/>
      <c r="G1285" s="96" t="n"/>
      <c r="H1285" s="92" t="n"/>
      <c r="I1285" s="92" t="n"/>
      <c r="J1285" s="92" t="n"/>
      <c r="K1285" s="92" t="n"/>
      <c r="L1285" s="92" t="n"/>
      <c r="M1285" s="97" t="n"/>
      <c r="N1285" s="92" t="n"/>
      <c r="O1285" s="92" t="n"/>
      <c r="P1285" s="92" t="n"/>
    </row>
    <row r="1286" ht="32" customHeight="1">
      <c r="A1286" s="91" t="n"/>
      <c r="B1286" s="91" t="n"/>
      <c r="C1286" s="91" t="n"/>
      <c r="D1286" s="91" t="n"/>
      <c r="E1286" s="91" t="n"/>
      <c r="F1286" s="94" t="n"/>
      <c r="G1286" s="94" t="n"/>
      <c r="H1286" s="91" t="n"/>
      <c r="I1286" s="91" t="n"/>
      <c r="J1286" s="91" t="n"/>
      <c r="K1286" s="91" t="n"/>
      <c r="L1286" s="91" t="n"/>
      <c r="M1286" s="95" t="n"/>
      <c r="N1286" s="91" t="n"/>
      <c r="O1286" s="91" t="n"/>
      <c r="P1286" s="91" t="n"/>
    </row>
    <row r="1287" ht="32" customHeight="1">
      <c r="A1287" s="92" t="n"/>
      <c r="B1287" s="92" t="n"/>
      <c r="C1287" s="92" t="n"/>
      <c r="D1287" s="92" t="n"/>
      <c r="E1287" s="92" t="n"/>
      <c r="F1287" s="96" t="n"/>
      <c r="G1287" s="96" t="n"/>
      <c r="H1287" s="92" t="n"/>
      <c r="I1287" s="92" t="n"/>
      <c r="J1287" s="92" t="n"/>
      <c r="K1287" s="92" t="n"/>
      <c r="L1287" s="92" t="n"/>
      <c r="M1287" s="97" t="n"/>
      <c r="N1287" s="92" t="n"/>
      <c r="O1287" s="92" t="n"/>
      <c r="P1287" s="92" t="n"/>
    </row>
    <row r="1288" ht="32" customHeight="1">
      <c r="A1288" s="91" t="n"/>
      <c r="B1288" s="91" t="n"/>
      <c r="C1288" s="91" t="n"/>
      <c r="D1288" s="91" t="n"/>
      <c r="E1288" s="91" t="n"/>
      <c r="F1288" s="94" t="n"/>
      <c r="G1288" s="94" t="n"/>
      <c r="H1288" s="91" t="n"/>
      <c r="I1288" s="91" t="n"/>
      <c r="J1288" s="91" t="n"/>
      <c r="K1288" s="91" t="n"/>
      <c r="L1288" s="91" t="n"/>
      <c r="M1288" s="95" t="n"/>
      <c r="N1288" s="91" t="n"/>
      <c r="O1288" s="91" t="n"/>
      <c r="P1288" s="91" t="n"/>
    </row>
    <row r="1289" ht="32" customHeight="1">
      <c r="A1289" s="92" t="n"/>
      <c r="B1289" s="92" t="n"/>
      <c r="C1289" s="92" t="n"/>
      <c r="D1289" s="92" t="n"/>
      <c r="E1289" s="92" t="n"/>
      <c r="F1289" s="96" t="n"/>
      <c r="G1289" s="96" t="n"/>
      <c r="H1289" s="92" t="n"/>
      <c r="I1289" s="92" t="n"/>
      <c r="J1289" s="92" t="n"/>
      <c r="K1289" s="92" t="n"/>
      <c r="L1289" s="92" t="n"/>
      <c r="M1289" s="97" t="n"/>
      <c r="N1289" s="92" t="n"/>
      <c r="O1289" s="92" t="n"/>
      <c r="P1289" s="92" t="n"/>
    </row>
    <row r="1290" ht="32" customHeight="1">
      <c r="A1290" s="91" t="n"/>
      <c r="B1290" s="91" t="n"/>
      <c r="C1290" s="91" t="n"/>
      <c r="D1290" s="91" t="n"/>
      <c r="E1290" s="91" t="n"/>
      <c r="F1290" s="94" t="n"/>
      <c r="G1290" s="94" t="n"/>
      <c r="H1290" s="91" t="n"/>
      <c r="I1290" s="91" t="n"/>
      <c r="J1290" s="91" t="n"/>
      <c r="K1290" s="91" t="n"/>
      <c r="L1290" s="91" t="n"/>
      <c r="M1290" s="95" t="n"/>
      <c r="N1290" s="91" t="n"/>
      <c r="O1290" s="91" t="n"/>
      <c r="P1290" s="91" t="n"/>
    </row>
    <row r="1291" ht="32" customHeight="1">
      <c r="A1291" s="92" t="n"/>
      <c r="B1291" s="92" t="n"/>
      <c r="C1291" s="92" t="n"/>
      <c r="D1291" s="92" t="n"/>
      <c r="E1291" s="92" t="n"/>
      <c r="F1291" s="96" t="n"/>
      <c r="G1291" s="96" t="n"/>
      <c r="H1291" s="92" t="n"/>
      <c r="I1291" s="92" t="n"/>
      <c r="J1291" s="92" t="n"/>
      <c r="K1291" s="92" t="n"/>
      <c r="L1291" s="92" t="n"/>
      <c r="M1291" s="97" t="n"/>
      <c r="N1291" s="92" t="n"/>
      <c r="O1291" s="92" t="n"/>
      <c r="P1291" s="92" t="n"/>
    </row>
    <row r="1292" ht="32" customHeight="1">
      <c r="A1292" s="91" t="n"/>
      <c r="B1292" s="91" t="n"/>
      <c r="C1292" s="91" t="n"/>
      <c r="D1292" s="91" t="n"/>
      <c r="E1292" s="91" t="n"/>
      <c r="F1292" s="94" t="n"/>
      <c r="G1292" s="94" t="n"/>
      <c r="H1292" s="91" t="n"/>
      <c r="I1292" s="91" t="n"/>
      <c r="J1292" s="91" t="n"/>
      <c r="K1292" s="91" t="n"/>
      <c r="L1292" s="91" t="n"/>
      <c r="M1292" s="95" t="n"/>
      <c r="N1292" s="91" t="n"/>
      <c r="O1292" s="91" t="n"/>
      <c r="P1292" s="91" t="n"/>
    </row>
    <row r="1293" ht="32" customHeight="1">
      <c r="A1293" s="92" t="n"/>
      <c r="B1293" s="92" t="n"/>
      <c r="C1293" s="92" t="n"/>
      <c r="D1293" s="92" t="n"/>
      <c r="E1293" s="92" t="n"/>
      <c r="F1293" s="96" t="n"/>
      <c r="G1293" s="96" t="n"/>
      <c r="H1293" s="92" t="n"/>
      <c r="I1293" s="92" t="n"/>
      <c r="J1293" s="92" t="n"/>
      <c r="K1293" s="92" t="n"/>
      <c r="L1293" s="92" t="n"/>
      <c r="M1293" s="97" t="n"/>
      <c r="N1293" s="92" t="n"/>
      <c r="O1293" s="92" t="n"/>
      <c r="P1293" s="92" t="n"/>
    </row>
    <row r="1294" ht="32" customHeight="1">
      <c r="A1294" s="91" t="n"/>
      <c r="B1294" s="91" t="n"/>
      <c r="C1294" s="91" t="n"/>
      <c r="D1294" s="91" t="n"/>
      <c r="E1294" s="91" t="n"/>
      <c r="F1294" s="94" t="n"/>
      <c r="G1294" s="94" t="n"/>
      <c r="H1294" s="91" t="n"/>
      <c r="I1294" s="91" t="n"/>
      <c r="J1294" s="91" t="n"/>
      <c r="K1294" s="91" t="n"/>
      <c r="L1294" s="91" t="n"/>
      <c r="M1294" s="95" t="n"/>
      <c r="N1294" s="91" t="n"/>
      <c r="O1294" s="91" t="n"/>
      <c r="P1294" s="91" t="n"/>
    </row>
    <row r="1295" ht="32" customHeight="1">
      <c r="A1295" s="92" t="n"/>
      <c r="B1295" s="92" t="n"/>
      <c r="C1295" s="92" t="n"/>
      <c r="D1295" s="92" t="n"/>
      <c r="E1295" s="92" t="n"/>
      <c r="F1295" s="96" t="n"/>
      <c r="G1295" s="96" t="n"/>
      <c r="H1295" s="92" t="n"/>
      <c r="I1295" s="92" t="n"/>
      <c r="J1295" s="92" t="n"/>
      <c r="K1295" s="92" t="n"/>
      <c r="L1295" s="92" t="n"/>
      <c r="M1295" s="97" t="n"/>
      <c r="N1295" s="92" t="n"/>
      <c r="O1295" s="92" t="n"/>
      <c r="P1295" s="92" t="n"/>
    </row>
    <row r="1296" ht="32" customHeight="1">
      <c r="A1296" s="91" t="n"/>
      <c r="B1296" s="91" t="n"/>
      <c r="C1296" s="91" t="n"/>
      <c r="D1296" s="91" t="n"/>
      <c r="E1296" s="91" t="n"/>
      <c r="F1296" s="94" t="n"/>
      <c r="G1296" s="94" t="n"/>
      <c r="H1296" s="91" t="n"/>
      <c r="I1296" s="91" t="n"/>
      <c r="J1296" s="91" t="n"/>
      <c r="K1296" s="91" t="n"/>
      <c r="L1296" s="91" t="n"/>
      <c r="M1296" s="95" t="n"/>
      <c r="N1296" s="91" t="n"/>
      <c r="O1296" s="91" t="n"/>
      <c r="P1296" s="91" t="n"/>
    </row>
    <row r="1297" ht="32" customHeight="1">
      <c r="A1297" s="92" t="n"/>
      <c r="B1297" s="92" t="n"/>
      <c r="C1297" s="92" t="n"/>
      <c r="D1297" s="92" t="n"/>
      <c r="E1297" s="92" t="n"/>
      <c r="F1297" s="96" t="n"/>
      <c r="G1297" s="96" t="n"/>
      <c r="H1297" s="92" t="n"/>
      <c r="I1297" s="92" t="n"/>
      <c r="J1297" s="92" t="n"/>
      <c r="K1297" s="92" t="n"/>
      <c r="L1297" s="92" t="n"/>
      <c r="M1297" s="97" t="n"/>
      <c r="N1297" s="92" t="n"/>
      <c r="O1297" s="92" t="n"/>
      <c r="P1297" s="92" t="n"/>
    </row>
    <row r="1298" ht="32" customHeight="1">
      <c r="A1298" s="91" t="n"/>
      <c r="B1298" s="91" t="n"/>
      <c r="C1298" s="91" t="n"/>
      <c r="D1298" s="91" t="n"/>
      <c r="E1298" s="91" t="n"/>
      <c r="F1298" s="94" t="n"/>
      <c r="G1298" s="94" t="n"/>
      <c r="H1298" s="91" t="n"/>
      <c r="I1298" s="91" t="n"/>
      <c r="J1298" s="91" t="n"/>
      <c r="K1298" s="91" t="n"/>
      <c r="L1298" s="91" t="n"/>
      <c r="M1298" s="95" t="n"/>
      <c r="N1298" s="91" t="n"/>
      <c r="O1298" s="91" t="n"/>
      <c r="P1298" s="91" t="n"/>
    </row>
    <row r="1299" ht="32" customHeight="1">
      <c r="A1299" s="92" t="n"/>
      <c r="B1299" s="92" t="n"/>
      <c r="C1299" s="92" t="n"/>
      <c r="D1299" s="92" t="n"/>
      <c r="E1299" s="92" t="n"/>
      <c r="F1299" s="96" t="n"/>
      <c r="G1299" s="96" t="n"/>
      <c r="H1299" s="92" t="n"/>
      <c r="I1299" s="92" t="n"/>
      <c r="J1299" s="92" t="n"/>
      <c r="K1299" s="92" t="n"/>
      <c r="L1299" s="92" t="n"/>
      <c r="M1299" s="97" t="n"/>
      <c r="N1299" s="92" t="n"/>
      <c r="O1299" s="92" t="n"/>
      <c r="P1299" s="92" t="n"/>
    </row>
    <row r="1300" ht="32" customHeight="1">
      <c r="A1300" s="91" t="n"/>
      <c r="B1300" s="91" t="n"/>
      <c r="C1300" s="91" t="n"/>
      <c r="D1300" s="91" t="n"/>
      <c r="E1300" s="91" t="n"/>
      <c r="F1300" s="94" t="n"/>
      <c r="G1300" s="94" t="n"/>
      <c r="H1300" s="91" t="n"/>
      <c r="I1300" s="91" t="n"/>
      <c r="J1300" s="91" t="n"/>
      <c r="K1300" s="91" t="n"/>
      <c r="L1300" s="91" t="n"/>
      <c r="M1300" s="95" t="n"/>
      <c r="N1300" s="91" t="n"/>
      <c r="O1300" s="91" t="n"/>
      <c r="P1300" s="91" t="n"/>
    </row>
    <row r="1301" ht="32" customHeight="1">
      <c r="A1301" s="92" t="n"/>
      <c r="B1301" s="92" t="n"/>
      <c r="C1301" s="92" t="n"/>
      <c r="D1301" s="92" t="n"/>
      <c r="E1301" s="92" t="n"/>
      <c r="F1301" s="96" t="n"/>
      <c r="G1301" s="96" t="n"/>
      <c r="H1301" s="92" t="n"/>
      <c r="I1301" s="92" t="n"/>
      <c r="J1301" s="92" t="n"/>
      <c r="K1301" s="92" t="n"/>
      <c r="L1301" s="92" t="n"/>
      <c r="M1301" s="97" t="n"/>
      <c r="N1301" s="92" t="n"/>
      <c r="O1301" s="92" t="n"/>
      <c r="P1301" s="92" t="n"/>
    </row>
    <row r="1302" ht="32" customHeight="1">
      <c r="A1302" s="91" t="n"/>
      <c r="B1302" s="91" t="n"/>
      <c r="C1302" s="91" t="n"/>
      <c r="D1302" s="91" t="n"/>
      <c r="E1302" s="91" t="n"/>
      <c r="F1302" s="94" t="n"/>
      <c r="G1302" s="94" t="n"/>
      <c r="H1302" s="91" t="n"/>
      <c r="I1302" s="91" t="n"/>
      <c r="J1302" s="91" t="n"/>
      <c r="K1302" s="91" t="n"/>
      <c r="L1302" s="91" t="n"/>
      <c r="M1302" s="95" t="n"/>
      <c r="N1302" s="91" t="n"/>
      <c r="O1302" s="91" t="n"/>
      <c r="P1302" s="91" t="n"/>
    </row>
    <row r="1303" ht="32" customHeight="1">
      <c r="A1303" s="92" t="n"/>
      <c r="B1303" s="92" t="n"/>
      <c r="C1303" s="92" t="n"/>
      <c r="D1303" s="92" t="n"/>
      <c r="E1303" s="92" t="n"/>
      <c r="F1303" s="96" t="n"/>
      <c r="G1303" s="96" t="n"/>
      <c r="H1303" s="92" t="n"/>
      <c r="I1303" s="92" t="n"/>
      <c r="J1303" s="92" t="n"/>
      <c r="K1303" s="92" t="n"/>
      <c r="L1303" s="92" t="n"/>
      <c r="M1303" s="97" t="n"/>
      <c r="N1303" s="92" t="n"/>
      <c r="O1303" s="92" t="n"/>
      <c r="P1303" s="92" t="n"/>
    </row>
    <row r="1304" ht="32" customHeight="1">
      <c r="A1304" s="91" t="n"/>
      <c r="B1304" s="91" t="n"/>
      <c r="C1304" s="91" t="n"/>
      <c r="D1304" s="91" t="n"/>
      <c r="E1304" s="91" t="n"/>
      <c r="F1304" s="94" t="n"/>
      <c r="G1304" s="94" t="n"/>
      <c r="H1304" s="91" t="n"/>
      <c r="I1304" s="91" t="n"/>
      <c r="J1304" s="91" t="n"/>
      <c r="K1304" s="91" t="n"/>
      <c r="L1304" s="91" t="n"/>
      <c r="M1304" s="95" t="n"/>
      <c r="N1304" s="91" t="n"/>
      <c r="O1304" s="91" t="n"/>
      <c r="P1304" s="91" t="n"/>
    </row>
    <row r="1305" ht="32" customHeight="1">
      <c r="A1305" s="92" t="n"/>
      <c r="B1305" s="92" t="n"/>
      <c r="C1305" s="92" t="n"/>
      <c r="D1305" s="92" t="n"/>
      <c r="E1305" s="92" t="n"/>
      <c r="F1305" s="96" t="n"/>
      <c r="G1305" s="96" t="n"/>
      <c r="H1305" s="92" t="n"/>
      <c r="I1305" s="92" t="n"/>
      <c r="J1305" s="92" t="n"/>
      <c r="K1305" s="92" t="n"/>
      <c r="L1305" s="92" t="n"/>
      <c r="M1305" s="97" t="n"/>
      <c r="N1305" s="92" t="n"/>
      <c r="O1305" s="92" t="n"/>
      <c r="P1305" s="92" t="n"/>
    </row>
    <row r="1306" ht="32" customHeight="1">
      <c r="A1306" s="91" t="n"/>
      <c r="B1306" s="91" t="n"/>
      <c r="C1306" s="91" t="n"/>
      <c r="D1306" s="91" t="n"/>
      <c r="E1306" s="91" t="n"/>
      <c r="F1306" s="94" t="n"/>
      <c r="G1306" s="94" t="n"/>
      <c r="H1306" s="91" t="n"/>
      <c r="I1306" s="91" t="n"/>
      <c r="J1306" s="91" t="n"/>
      <c r="K1306" s="91" t="n"/>
      <c r="L1306" s="91" t="n"/>
      <c r="M1306" s="95" t="n"/>
      <c r="N1306" s="91" t="n"/>
      <c r="O1306" s="91" t="n"/>
      <c r="P1306" s="91" t="n"/>
    </row>
    <row r="1307" ht="32" customHeight="1">
      <c r="A1307" s="92" t="n"/>
      <c r="B1307" s="92" t="n"/>
      <c r="C1307" s="92" t="n"/>
      <c r="D1307" s="92" t="n"/>
      <c r="E1307" s="92" t="n"/>
      <c r="F1307" s="96" t="n"/>
      <c r="G1307" s="96" t="n"/>
      <c r="H1307" s="92" t="n"/>
      <c r="I1307" s="92" t="n"/>
      <c r="J1307" s="92" t="n"/>
      <c r="K1307" s="92" t="n"/>
      <c r="L1307" s="92" t="n"/>
      <c r="M1307" s="97" t="n"/>
      <c r="N1307" s="92" t="n"/>
      <c r="O1307" s="92" t="n"/>
      <c r="P1307" s="92" t="n"/>
    </row>
    <row r="1308" ht="32" customHeight="1">
      <c r="A1308" s="91" t="n"/>
      <c r="B1308" s="91" t="n"/>
      <c r="C1308" s="91" t="n"/>
      <c r="D1308" s="91" t="n"/>
      <c r="E1308" s="91" t="n"/>
      <c r="F1308" s="94" t="n"/>
      <c r="G1308" s="94" t="n"/>
      <c r="H1308" s="91" t="n"/>
      <c r="I1308" s="91" t="n"/>
      <c r="J1308" s="91" t="n"/>
      <c r="K1308" s="91" t="n"/>
      <c r="L1308" s="91" t="n"/>
      <c r="M1308" s="95" t="n"/>
      <c r="N1308" s="91" t="n"/>
      <c r="O1308" s="91" t="n"/>
      <c r="P1308" s="91" t="n"/>
    </row>
    <row r="1309" ht="32" customHeight="1">
      <c r="A1309" s="92" t="n"/>
      <c r="B1309" s="92" t="n"/>
      <c r="C1309" s="92" t="n"/>
      <c r="D1309" s="92" t="n"/>
      <c r="E1309" s="92" t="n"/>
      <c r="F1309" s="96" t="n"/>
      <c r="G1309" s="96" t="n"/>
      <c r="H1309" s="92" t="n"/>
      <c r="I1309" s="92" t="n"/>
      <c r="J1309" s="92" t="n"/>
      <c r="K1309" s="92" t="n"/>
      <c r="L1309" s="92" t="n"/>
      <c r="M1309" s="97" t="n"/>
      <c r="N1309" s="92" t="n"/>
      <c r="O1309" s="92" t="n"/>
      <c r="P1309" s="92" t="n"/>
    </row>
    <row r="1310" ht="32" customHeight="1">
      <c r="A1310" s="91" t="n"/>
      <c r="B1310" s="91" t="n"/>
      <c r="C1310" s="91" t="n"/>
      <c r="D1310" s="91" t="n"/>
      <c r="E1310" s="91" t="n"/>
      <c r="F1310" s="94" t="n"/>
      <c r="G1310" s="94" t="n"/>
      <c r="H1310" s="91" t="n"/>
      <c r="I1310" s="91" t="n"/>
      <c r="J1310" s="91" t="n"/>
      <c r="K1310" s="91" t="n"/>
      <c r="L1310" s="91" t="n"/>
      <c r="M1310" s="95" t="n"/>
      <c r="N1310" s="91" t="n"/>
      <c r="O1310" s="91" t="n"/>
      <c r="P1310" s="91" t="n"/>
    </row>
    <row r="1311" ht="32" customHeight="1">
      <c r="A1311" s="92" t="n"/>
      <c r="B1311" s="92" t="n"/>
      <c r="C1311" s="92" t="n"/>
      <c r="D1311" s="92" t="n"/>
      <c r="E1311" s="92" t="n"/>
      <c r="F1311" s="96" t="n"/>
      <c r="G1311" s="96" t="n"/>
      <c r="H1311" s="92" t="n"/>
      <c r="I1311" s="92" t="n"/>
      <c r="J1311" s="92" t="n"/>
      <c r="K1311" s="92" t="n"/>
      <c r="L1311" s="92" t="n"/>
      <c r="M1311" s="97" t="n"/>
      <c r="N1311" s="92" t="n"/>
      <c r="O1311" s="92" t="n"/>
      <c r="P1311" s="92" t="n"/>
    </row>
    <row r="1312" ht="32" customHeight="1">
      <c r="A1312" s="91" t="n"/>
      <c r="B1312" s="91" t="n"/>
      <c r="C1312" s="91" t="n"/>
      <c r="D1312" s="91" t="n"/>
      <c r="E1312" s="91" t="n"/>
      <c r="F1312" s="94" t="n"/>
      <c r="G1312" s="94" t="n"/>
      <c r="H1312" s="91" t="n"/>
      <c r="I1312" s="91" t="n"/>
      <c r="J1312" s="91" t="n"/>
      <c r="K1312" s="91" t="n"/>
      <c r="L1312" s="91" t="n"/>
      <c r="M1312" s="95" t="n"/>
      <c r="N1312" s="91" t="n"/>
      <c r="O1312" s="91" t="n"/>
      <c r="P1312" s="91" t="n"/>
    </row>
    <row r="1313" ht="32" customHeight="1">
      <c r="A1313" s="92" t="n"/>
      <c r="B1313" s="92" t="n"/>
      <c r="C1313" s="92" t="n"/>
      <c r="D1313" s="92" t="n"/>
      <c r="E1313" s="92" t="n"/>
      <c r="F1313" s="96" t="n"/>
      <c r="G1313" s="96" t="n"/>
      <c r="H1313" s="92" t="n"/>
      <c r="I1313" s="92" t="n"/>
      <c r="J1313" s="92" t="n"/>
      <c r="K1313" s="92" t="n"/>
      <c r="L1313" s="92" t="n"/>
      <c r="M1313" s="97" t="n"/>
      <c r="N1313" s="92" t="n"/>
      <c r="O1313" s="92" t="n"/>
      <c r="P1313" s="92" t="n"/>
    </row>
    <row r="1314" ht="32" customHeight="1">
      <c r="A1314" s="91" t="n"/>
      <c r="B1314" s="91" t="n"/>
      <c r="C1314" s="91" t="n"/>
      <c r="D1314" s="91" t="n"/>
      <c r="E1314" s="91" t="n"/>
      <c r="F1314" s="94" t="n"/>
      <c r="G1314" s="94" t="n"/>
      <c r="H1314" s="91" t="n"/>
      <c r="I1314" s="91" t="n"/>
      <c r="J1314" s="91" t="n"/>
      <c r="K1314" s="91" t="n"/>
      <c r="L1314" s="91" t="n"/>
      <c r="M1314" s="95" t="n"/>
      <c r="N1314" s="91" t="n"/>
      <c r="O1314" s="91" t="n"/>
      <c r="P1314" s="91" t="n"/>
    </row>
    <row r="1315" ht="32" customHeight="1">
      <c r="A1315" s="92" t="n"/>
      <c r="B1315" s="92" t="n"/>
      <c r="C1315" s="92" t="n"/>
      <c r="D1315" s="92" t="n"/>
      <c r="E1315" s="92" t="n"/>
      <c r="F1315" s="96" t="n"/>
      <c r="G1315" s="96" t="n"/>
      <c r="H1315" s="92" t="n"/>
      <c r="I1315" s="92" t="n"/>
      <c r="J1315" s="92" t="n"/>
      <c r="K1315" s="92" t="n"/>
      <c r="L1315" s="92" t="n"/>
      <c r="M1315" s="97" t="n"/>
      <c r="N1315" s="92" t="n"/>
      <c r="O1315" s="92" t="n"/>
      <c r="P1315" s="92" t="n"/>
    </row>
    <row r="1316" ht="32" customHeight="1">
      <c r="A1316" s="91" t="n"/>
      <c r="B1316" s="91" t="n"/>
      <c r="C1316" s="91" t="n"/>
      <c r="D1316" s="91" t="n"/>
      <c r="E1316" s="91" t="n"/>
      <c r="F1316" s="94" t="n"/>
      <c r="G1316" s="94" t="n"/>
      <c r="H1316" s="91" t="n"/>
      <c r="I1316" s="91" t="n"/>
      <c r="J1316" s="91" t="n"/>
      <c r="K1316" s="91" t="n"/>
      <c r="L1316" s="91" t="n"/>
      <c r="M1316" s="95" t="n"/>
      <c r="N1316" s="91" t="n"/>
      <c r="O1316" s="91" t="n"/>
      <c r="P1316" s="91" t="n"/>
    </row>
    <row r="1317" ht="32" customHeight="1">
      <c r="A1317" s="92" t="n"/>
      <c r="B1317" s="92" t="n"/>
      <c r="C1317" s="92" t="n"/>
      <c r="D1317" s="92" t="n"/>
      <c r="E1317" s="92" t="n"/>
      <c r="F1317" s="96" t="n"/>
      <c r="G1317" s="96" t="n"/>
      <c r="H1317" s="92" t="n"/>
      <c r="I1317" s="92" t="n"/>
      <c r="J1317" s="92" t="n"/>
      <c r="K1317" s="92" t="n"/>
      <c r="L1317" s="92" t="n"/>
      <c r="M1317" s="97" t="n"/>
      <c r="N1317" s="92" t="n"/>
      <c r="O1317" s="92" t="n"/>
      <c r="P1317" s="92" t="n"/>
    </row>
    <row r="1318" ht="32" customHeight="1">
      <c r="A1318" s="91" t="n"/>
      <c r="B1318" s="91" t="n"/>
      <c r="C1318" s="91" t="n"/>
      <c r="D1318" s="91" t="n"/>
      <c r="E1318" s="91" t="n"/>
      <c r="F1318" s="94" t="n"/>
      <c r="G1318" s="94" t="n"/>
      <c r="H1318" s="91" t="n"/>
      <c r="I1318" s="91" t="n"/>
      <c r="J1318" s="91" t="n"/>
      <c r="K1318" s="91" t="n"/>
      <c r="L1318" s="91" t="n"/>
      <c r="M1318" s="95" t="n"/>
      <c r="N1318" s="91" t="n"/>
      <c r="O1318" s="91" t="n"/>
      <c r="P1318" s="91" t="n"/>
    </row>
    <row r="1319" ht="32" customHeight="1">
      <c r="A1319" s="92" t="n"/>
      <c r="B1319" s="92" t="n"/>
      <c r="C1319" s="92" t="n"/>
      <c r="D1319" s="92" t="n"/>
      <c r="E1319" s="92" t="n"/>
      <c r="F1319" s="96" t="n"/>
      <c r="G1319" s="96" t="n"/>
      <c r="H1319" s="92" t="n"/>
      <c r="I1319" s="92" t="n"/>
      <c r="J1319" s="92" t="n"/>
      <c r="K1319" s="92" t="n"/>
      <c r="L1319" s="92" t="n"/>
      <c r="M1319" s="97" t="n"/>
      <c r="N1319" s="92" t="n"/>
      <c r="O1319" s="92" t="n"/>
      <c r="P1319" s="92" t="n"/>
    </row>
    <row r="1320" ht="32" customHeight="1">
      <c r="A1320" s="91" t="n"/>
      <c r="B1320" s="91" t="n"/>
      <c r="C1320" s="91" t="n"/>
      <c r="D1320" s="91" t="n"/>
      <c r="E1320" s="91" t="n"/>
      <c r="F1320" s="94" t="n"/>
      <c r="G1320" s="94" t="n"/>
      <c r="H1320" s="91" t="n"/>
      <c r="I1320" s="91" t="n"/>
      <c r="J1320" s="91" t="n"/>
      <c r="K1320" s="91" t="n"/>
      <c r="L1320" s="91" t="n"/>
      <c r="M1320" s="95" t="n"/>
      <c r="N1320" s="91" t="n"/>
      <c r="O1320" s="91" t="n"/>
      <c r="P1320" s="91" t="n"/>
    </row>
    <row r="1321" ht="32" customHeight="1">
      <c r="A1321" s="92" t="n"/>
      <c r="B1321" s="92" t="n"/>
      <c r="C1321" s="92" t="n"/>
      <c r="D1321" s="92" t="n"/>
      <c r="E1321" s="92" t="n"/>
      <c r="F1321" s="96" t="n"/>
      <c r="G1321" s="96" t="n"/>
      <c r="H1321" s="92" t="n"/>
      <c r="I1321" s="92" t="n"/>
      <c r="J1321" s="92" t="n"/>
      <c r="K1321" s="92" t="n"/>
      <c r="L1321" s="92" t="n"/>
      <c r="M1321" s="97" t="n"/>
      <c r="N1321" s="92" t="n"/>
      <c r="O1321" s="92" t="n"/>
      <c r="P1321" s="92" t="n"/>
    </row>
    <row r="1322" ht="32" customHeight="1">
      <c r="A1322" s="91" t="n"/>
      <c r="B1322" s="91" t="n"/>
      <c r="C1322" s="91" t="n"/>
      <c r="D1322" s="91" t="n"/>
      <c r="E1322" s="91" t="n"/>
      <c r="F1322" s="94" t="n"/>
      <c r="G1322" s="94" t="n"/>
      <c r="H1322" s="91" t="n"/>
      <c r="I1322" s="91" t="n"/>
      <c r="J1322" s="91" t="n"/>
      <c r="K1322" s="91" t="n"/>
      <c r="L1322" s="91" t="n"/>
      <c r="M1322" s="95" t="n"/>
      <c r="N1322" s="91" t="n"/>
      <c r="O1322" s="91" t="n"/>
      <c r="P1322" s="91" t="n"/>
    </row>
    <row r="1323" ht="32" customHeight="1">
      <c r="A1323" s="92" t="n"/>
      <c r="B1323" s="92" t="n"/>
      <c r="C1323" s="92" t="n"/>
      <c r="D1323" s="92" t="n"/>
      <c r="E1323" s="92" t="n"/>
      <c r="F1323" s="96" t="n"/>
      <c r="G1323" s="96" t="n"/>
      <c r="H1323" s="92" t="n"/>
      <c r="I1323" s="92" t="n"/>
      <c r="J1323" s="92" t="n"/>
      <c r="K1323" s="92" t="n"/>
      <c r="L1323" s="92" t="n"/>
      <c r="M1323" s="97" t="n"/>
      <c r="N1323" s="92" t="n"/>
      <c r="O1323" s="92" t="n"/>
      <c r="P1323" s="92" t="n"/>
    </row>
    <row r="1324" ht="32" customHeight="1">
      <c r="A1324" s="91" t="n"/>
      <c r="B1324" s="91" t="n"/>
      <c r="C1324" s="91" t="n"/>
      <c r="D1324" s="91" t="n"/>
      <c r="E1324" s="91" t="n"/>
      <c r="F1324" s="94" t="n"/>
      <c r="G1324" s="94" t="n"/>
      <c r="H1324" s="91" t="n"/>
      <c r="I1324" s="91" t="n"/>
      <c r="J1324" s="91" t="n"/>
      <c r="K1324" s="91" t="n"/>
      <c r="L1324" s="91" t="n"/>
      <c r="M1324" s="95" t="n"/>
      <c r="N1324" s="91" t="n"/>
      <c r="O1324" s="91" t="n"/>
      <c r="P1324" s="91" t="n"/>
    </row>
    <row r="1325" ht="32" customHeight="1">
      <c r="A1325" s="92" t="n"/>
      <c r="B1325" s="92" t="n"/>
      <c r="C1325" s="92" t="n"/>
      <c r="D1325" s="92" t="n"/>
      <c r="E1325" s="92" t="n"/>
      <c r="F1325" s="96" t="n"/>
      <c r="G1325" s="96" t="n"/>
      <c r="H1325" s="92" t="n"/>
      <c r="I1325" s="92" t="n"/>
      <c r="J1325" s="92" t="n"/>
      <c r="K1325" s="92" t="n"/>
      <c r="L1325" s="92" t="n"/>
      <c r="M1325" s="97" t="n"/>
      <c r="N1325" s="92" t="n"/>
      <c r="O1325" s="92" t="n"/>
      <c r="P1325" s="92" t="n"/>
    </row>
    <row r="1326" ht="32" customHeight="1">
      <c r="A1326" s="91" t="n"/>
      <c r="B1326" s="91" t="n"/>
      <c r="C1326" s="91" t="n"/>
      <c r="D1326" s="91" t="n"/>
      <c r="E1326" s="91" t="n"/>
      <c r="F1326" s="94" t="n"/>
      <c r="G1326" s="94" t="n"/>
      <c r="H1326" s="91" t="n"/>
      <c r="I1326" s="91" t="n"/>
      <c r="J1326" s="91" t="n"/>
      <c r="K1326" s="91" t="n"/>
      <c r="L1326" s="91" t="n"/>
      <c r="M1326" s="95" t="n"/>
      <c r="N1326" s="91" t="n"/>
      <c r="O1326" s="91" t="n"/>
      <c r="P1326" s="91" t="n"/>
    </row>
    <row r="1327" ht="32" customHeight="1">
      <c r="A1327" s="92" t="n"/>
      <c r="B1327" s="92" t="n"/>
      <c r="C1327" s="92" t="n"/>
      <c r="D1327" s="92" t="n"/>
      <c r="E1327" s="92" t="n"/>
      <c r="F1327" s="96" t="n"/>
      <c r="G1327" s="96" t="n"/>
      <c r="H1327" s="92" t="n"/>
      <c r="I1327" s="92" t="n"/>
      <c r="J1327" s="92" t="n"/>
      <c r="K1327" s="92" t="n"/>
      <c r="L1327" s="92" t="n"/>
      <c r="M1327" s="97" t="n"/>
      <c r="N1327" s="92" t="n"/>
      <c r="O1327" s="92" t="n"/>
      <c r="P1327" s="92" t="n"/>
    </row>
    <row r="1328" ht="32" customHeight="1">
      <c r="A1328" s="91" t="n"/>
      <c r="B1328" s="91" t="n"/>
      <c r="C1328" s="91" t="n"/>
      <c r="D1328" s="91" t="n"/>
      <c r="E1328" s="91" t="n"/>
      <c r="F1328" s="94" t="n"/>
      <c r="G1328" s="94" t="n"/>
      <c r="H1328" s="91" t="n"/>
      <c r="I1328" s="91" t="n"/>
      <c r="J1328" s="91" t="n"/>
      <c r="K1328" s="91" t="n"/>
      <c r="L1328" s="91" t="n"/>
      <c r="M1328" s="95" t="n"/>
      <c r="N1328" s="91" t="n"/>
      <c r="O1328" s="91" t="n"/>
      <c r="P1328" s="91" t="n"/>
    </row>
    <row r="1329" ht="32" customHeight="1">
      <c r="A1329" s="92" t="n"/>
      <c r="B1329" s="92" t="n"/>
      <c r="C1329" s="92" t="n"/>
      <c r="D1329" s="92" t="n"/>
      <c r="E1329" s="92" t="n"/>
      <c r="F1329" s="96" t="n"/>
      <c r="G1329" s="96" t="n"/>
      <c r="H1329" s="92" t="n"/>
      <c r="I1329" s="92" t="n"/>
      <c r="J1329" s="92" t="n"/>
      <c r="K1329" s="92" t="n"/>
      <c r="L1329" s="92" t="n"/>
      <c r="M1329" s="97" t="n"/>
      <c r="N1329" s="92" t="n"/>
      <c r="O1329" s="92" t="n"/>
      <c r="P1329" s="92" t="n"/>
    </row>
    <row r="1330" ht="32" customHeight="1">
      <c r="A1330" s="91" t="n"/>
      <c r="B1330" s="91" t="n"/>
      <c r="C1330" s="91" t="n"/>
      <c r="D1330" s="91" t="n"/>
      <c r="E1330" s="91" t="n"/>
      <c r="F1330" s="94" t="n"/>
      <c r="G1330" s="94" t="n"/>
      <c r="H1330" s="91" t="n"/>
      <c r="I1330" s="91" t="n"/>
      <c r="J1330" s="91" t="n"/>
      <c r="K1330" s="91" t="n"/>
      <c r="L1330" s="91" t="n"/>
      <c r="M1330" s="95" t="n"/>
      <c r="N1330" s="91" t="n"/>
      <c r="O1330" s="91" t="n"/>
      <c r="P1330" s="91" t="n"/>
    </row>
    <row r="1331" ht="32" customHeight="1">
      <c r="A1331" s="92" t="n"/>
      <c r="B1331" s="92" t="n"/>
      <c r="C1331" s="92" t="n"/>
      <c r="D1331" s="92" t="n"/>
      <c r="E1331" s="92" t="n"/>
      <c r="F1331" s="96" t="n"/>
      <c r="G1331" s="96" t="n"/>
      <c r="H1331" s="92" t="n"/>
      <c r="I1331" s="92" t="n"/>
      <c r="J1331" s="92" t="n"/>
      <c r="K1331" s="92" t="n"/>
      <c r="L1331" s="92" t="n"/>
      <c r="M1331" s="97" t="n"/>
      <c r="N1331" s="92" t="n"/>
      <c r="O1331" s="92" t="n"/>
      <c r="P1331" s="92" t="n"/>
    </row>
    <row r="1332" ht="32" customHeight="1">
      <c r="A1332" s="91" t="n"/>
      <c r="B1332" s="91" t="n"/>
      <c r="C1332" s="91" t="n"/>
      <c r="D1332" s="91" t="n"/>
      <c r="E1332" s="91" t="n"/>
      <c r="F1332" s="94" t="n"/>
      <c r="G1332" s="94" t="n"/>
      <c r="H1332" s="91" t="n"/>
      <c r="I1332" s="91" t="n"/>
      <c r="J1332" s="91" t="n"/>
      <c r="K1332" s="91" t="n"/>
      <c r="L1332" s="91" t="n"/>
      <c r="M1332" s="95" t="n"/>
      <c r="N1332" s="91" t="n"/>
      <c r="O1332" s="91" t="n"/>
      <c r="P1332" s="91" t="n"/>
    </row>
    <row r="1333" ht="32" customHeight="1">
      <c r="A1333" s="92" t="n"/>
      <c r="B1333" s="92" t="n"/>
      <c r="C1333" s="92" t="n"/>
      <c r="D1333" s="92" t="n"/>
      <c r="E1333" s="92" t="n"/>
      <c r="F1333" s="96" t="n"/>
      <c r="G1333" s="96" t="n"/>
      <c r="H1333" s="92" t="n"/>
      <c r="I1333" s="92" t="n"/>
      <c r="J1333" s="92" t="n"/>
      <c r="K1333" s="92" t="n"/>
      <c r="L1333" s="92" t="n"/>
      <c r="M1333" s="97" t="n"/>
      <c r="N1333" s="92" t="n"/>
      <c r="O1333" s="92" t="n"/>
      <c r="P1333" s="92" t="n"/>
    </row>
    <row r="1334" ht="32" customHeight="1">
      <c r="A1334" s="91" t="n"/>
      <c r="B1334" s="91" t="n"/>
      <c r="C1334" s="91" t="n"/>
      <c r="D1334" s="91" t="n"/>
      <c r="E1334" s="91" t="n"/>
      <c r="F1334" s="94" t="n"/>
      <c r="G1334" s="94" t="n"/>
      <c r="H1334" s="91" t="n"/>
      <c r="I1334" s="91" t="n"/>
      <c r="J1334" s="91" t="n"/>
      <c r="K1334" s="91" t="n"/>
      <c r="L1334" s="91" t="n"/>
      <c r="M1334" s="95" t="n"/>
      <c r="N1334" s="91" t="n"/>
      <c r="O1334" s="91" t="n"/>
      <c r="P1334" s="91" t="n"/>
    </row>
    <row r="1335" ht="32" customHeight="1">
      <c r="A1335" s="92" t="n"/>
      <c r="B1335" s="92" t="n"/>
      <c r="C1335" s="92" t="n"/>
      <c r="D1335" s="92" t="n"/>
      <c r="E1335" s="92" t="n"/>
      <c r="F1335" s="96" t="n"/>
      <c r="G1335" s="96" t="n"/>
      <c r="H1335" s="92" t="n"/>
      <c r="I1335" s="92" t="n"/>
      <c r="J1335" s="92" t="n"/>
      <c r="K1335" s="92" t="n"/>
      <c r="L1335" s="92" t="n"/>
      <c r="M1335" s="97" t="n"/>
      <c r="N1335" s="92" t="n"/>
      <c r="O1335" s="92" t="n"/>
      <c r="P1335" s="92" t="n"/>
    </row>
    <row r="1336" ht="32" customHeight="1">
      <c r="A1336" s="91" t="n"/>
      <c r="B1336" s="91" t="n"/>
      <c r="C1336" s="91" t="n"/>
      <c r="D1336" s="91" t="n"/>
      <c r="E1336" s="91" t="n"/>
      <c r="F1336" s="94" t="n"/>
      <c r="G1336" s="94" t="n"/>
      <c r="H1336" s="91" t="n"/>
      <c r="I1336" s="91" t="n"/>
      <c r="J1336" s="91" t="n"/>
      <c r="K1336" s="91" t="n"/>
      <c r="L1336" s="91" t="n"/>
      <c r="M1336" s="95" t="n"/>
      <c r="N1336" s="91" t="n"/>
      <c r="O1336" s="91" t="n"/>
      <c r="P1336" s="91" t="n"/>
    </row>
    <row r="1337" ht="32" customHeight="1">
      <c r="A1337" s="92" t="n"/>
      <c r="B1337" s="92" t="n"/>
      <c r="C1337" s="92" t="n"/>
      <c r="D1337" s="92" t="n"/>
      <c r="E1337" s="92" t="n"/>
      <c r="F1337" s="96" t="n"/>
      <c r="G1337" s="96" t="n"/>
      <c r="H1337" s="92" t="n"/>
      <c r="I1337" s="92" t="n"/>
      <c r="J1337" s="92" t="n"/>
      <c r="K1337" s="92" t="n"/>
      <c r="L1337" s="92" t="n"/>
      <c r="M1337" s="97" t="n"/>
      <c r="N1337" s="92" t="n"/>
      <c r="O1337" s="92" t="n"/>
      <c r="P1337" s="92" t="n"/>
    </row>
    <row r="1338" ht="32" customHeight="1">
      <c r="A1338" s="91" t="n"/>
      <c r="B1338" s="91" t="n"/>
      <c r="C1338" s="91" t="n"/>
      <c r="D1338" s="91" t="n"/>
      <c r="E1338" s="91" t="n"/>
      <c r="F1338" s="94" t="n"/>
      <c r="G1338" s="94" t="n"/>
      <c r="H1338" s="91" t="n"/>
      <c r="I1338" s="91" t="n"/>
      <c r="J1338" s="91" t="n"/>
      <c r="K1338" s="91" t="n"/>
      <c r="L1338" s="91" t="n"/>
      <c r="M1338" s="95" t="n"/>
      <c r="N1338" s="91" t="n"/>
      <c r="O1338" s="91" t="n"/>
      <c r="P1338" s="91" t="n"/>
    </row>
    <row r="1339" ht="32" customHeight="1">
      <c r="A1339" s="92" t="n"/>
      <c r="B1339" s="92" t="n"/>
      <c r="C1339" s="92" t="n"/>
      <c r="D1339" s="92" t="n"/>
      <c r="E1339" s="92" t="n"/>
      <c r="F1339" s="96" t="n"/>
      <c r="G1339" s="96" t="n"/>
      <c r="H1339" s="92" t="n"/>
      <c r="I1339" s="92" t="n"/>
      <c r="J1339" s="92" t="n"/>
      <c r="K1339" s="92" t="n"/>
      <c r="L1339" s="92" t="n"/>
      <c r="M1339" s="97" t="n"/>
      <c r="N1339" s="92" t="n"/>
      <c r="O1339" s="92" t="n"/>
      <c r="P1339" s="92" t="n"/>
    </row>
    <row r="1340" ht="32" customHeight="1">
      <c r="A1340" s="91" t="n"/>
      <c r="B1340" s="91" t="n"/>
      <c r="C1340" s="91" t="n"/>
      <c r="D1340" s="91" t="n"/>
      <c r="E1340" s="91" t="n"/>
      <c r="F1340" s="94" t="n"/>
      <c r="G1340" s="94" t="n"/>
      <c r="H1340" s="91" t="n"/>
      <c r="I1340" s="91" t="n"/>
      <c r="J1340" s="91" t="n"/>
      <c r="K1340" s="91" t="n"/>
      <c r="L1340" s="91" t="n"/>
      <c r="M1340" s="95" t="n"/>
      <c r="N1340" s="91" t="n"/>
      <c r="O1340" s="91" t="n"/>
      <c r="P1340" s="91" t="n"/>
    </row>
    <row r="1341" ht="32" customHeight="1">
      <c r="A1341" s="92" t="n"/>
      <c r="B1341" s="92" t="n"/>
      <c r="C1341" s="92" t="n"/>
      <c r="D1341" s="92" t="n"/>
      <c r="E1341" s="92" t="n"/>
      <c r="F1341" s="96" t="n"/>
      <c r="G1341" s="96" t="n"/>
      <c r="H1341" s="92" t="n"/>
      <c r="I1341" s="92" t="n"/>
      <c r="J1341" s="92" t="n"/>
      <c r="K1341" s="92" t="n"/>
      <c r="L1341" s="92" t="n"/>
      <c r="M1341" s="97" t="n"/>
      <c r="N1341" s="92" t="n"/>
      <c r="O1341" s="92" t="n"/>
      <c r="P1341" s="92" t="n"/>
    </row>
    <row r="1342" ht="32" customHeight="1">
      <c r="A1342" s="91" t="n"/>
      <c r="B1342" s="91" t="n"/>
      <c r="C1342" s="91" t="n"/>
      <c r="D1342" s="91" t="n"/>
      <c r="E1342" s="91" t="n"/>
      <c r="F1342" s="94" t="n"/>
      <c r="G1342" s="94" t="n"/>
      <c r="H1342" s="91" t="n"/>
      <c r="I1342" s="91" t="n"/>
      <c r="J1342" s="91" t="n"/>
      <c r="K1342" s="91" t="n"/>
      <c r="L1342" s="91" t="n"/>
      <c r="M1342" s="95" t="n"/>
      <c r="N1342" s="91" t="n"/>
      <c r="O1342" s="91" t="n"/>
      <c r="P1342" s="91" t="n"/>
    </row>
    <row r="1343" ht="32" customHeight="1">
      <c r="A1343" s="92" t="n"/>
      <c r="B1343" s="92" t="n"/>
      <c r="C1343" s="92" t="n"/>
      <c r="D1343" s="92" t="n"/>
      <c r="E1343" s="92" t="n"/>
      <c r="F1343" s="96" t="n"/>
      <c r="G1343" s="96" t="n"/>
      <c r="H1343" s="92" t="n"/>
      <c r="I1343" s="92" t="n"/>
      <c r="J1343" s="92" t="n"/>
      <c r="K1343" s="92" t="n"/>
      <c r="L1343" s="92" t="n"/>
      <c r="M1343" s="97" t="n"/>
      <c r="N1343" s="92" t="n"/>
      <c r="O1343" s="92" t="n"/>
      <c r="P1343" s="92" t="n"/>
    </row>
    <row r="1344" ht="32" customHeight="1">
      <c r="A1344" s="91" t="n"/>
      <c r="B1344" s="91" t="n"/>
      <c r="C1344" s="91" t="n"/>
      <c r="D1344" s="91" t="n"/>
      <c r="E1344" s="91" t="n"/>
      <c r="F1344" s="94" t="n"/>
      <c r="G1344" s="94" t="n"/>
      <c r="H1344" s="91" t="n"/>
      <c r="I1344" s="91" t="n"/>
      <c r="J1344" s="91" t="n"/>
      <c r="K1344" s="91" t="n"/>
      <c r="L1344" s="91" t="n"/>
      <c r="M1344" s="95" t="n"/>
      <c r="N1344" s="91" t="n"/>
      <c r="O1344" s="91" t="n"/>
      <c r="P1344" s="91" t="n"/>
    </row>
    <row r="1345" ht="32" customHeight="1">
      <c r="A1345" s="92" t="n"/>
      <c r="B1345" s="92" t="n"/>
      <c r="C1345" s="92" t="n"/>
      <c r="D1345" s="92" t="n"/>
      <c r="E1345" s="92" t="n"/>
      <c r="F1345" s="96" t="n"/>
      <c r="G1345" s="96" t="n"/>
      <c r="H1345" s="92" t="n"/>
      <c r="I1345" s="92" t="n"/>
      <c r="J1345" s="92" t="n"/>
      <c r="K1345" s="92" t="n"/>
      <c r="L1345" s="92" t="n"/>
      <c r="M1345" s="97" t="n"/>
      <c r="N1345" s="92" t="n"/>
      <c r="O1345" s="92" t="n"/>
      <c r="P1345" s="92" t="n"/>
    </row>
    <row r="1346" ht="32" customHeight="1">
      <c r="A1346" s="91" t="n"/>
      <c r="B1346" s="91" t="n"/>
      <c r="C1346" s="91" t="n"/>
      <c r="D1346" s="91" t="n"/>
      <c r="E1346" s="91" t="n"/>
      <c r="F1346" s="94" t="n"/>
      <c r="G1346" s="94" t="n"/>
      <c r="H1346" s="91" t="n"/>
      <c r="I1346" s="91" t="n"/>
      <c r="J1346" s="91" t="n"/>
      <c r="K1346" s="91" t="n"/>
      <c r="L1346" s="91" t="n"/>
      <c r="M1346" s="95" t="n"/>
      <c r="N1346" s="91" t="n"/>
      <c r="O1346" s="91" t="n"/>
      <c r="P1346" s="91" t="n"/>
    </row>
    <row r="1347" ht="32" customHeight="1">
      <c r="A1347" s="92" t="n"/>
      <c r="B1347" s="92" t="n"/>
      <c r="C1347" s="92" t="n"/>
      <c r="D1347" s="92" t="n"/>
      <c r="E1347" s="92" t="n"/>
      <c r="F1347" s="96" t="n"/>
      <c r="G1347" s="96" t="n"/>
      <c r="H1347" s="92" t="n"/>
      <c r="I1347" s="92" t="n"/>
      <c r="J1347" s="92" t="n"/>
      <c r="K1347" s="92" t="n"/>
      <c r="L1347" s="92" t="n"/>
      <c r="M1347" s="97" t="n"/>
      <c r="N1347" s="92" t="n"/>
      <c r="O1347" s="92" t="n"/>
      <c r="P1347" s="92" t="n"/>
    </row>
    <row r="1348" ht="32" customHeight="1">
      <c r="A1348" s="91" t="n"/>
      <c r="B1348" s="91" t="n"/>
      <c r="C1348" s="91" t="n"/>
      <c r="D1348" s="91" t="n"/>
      <c r="E1348" s="91" t="n"/>
      <c r="F1348" s="94" t="n"/>
      <c r="G1348" s="94" t="n"/>
      <c r="H1348" s="91" t="n"/>
      <c r="I1348" s="91" t="n"/>
      <c r="J1348" s="91" t="n"/>
      <c r="K1348" s="91" t="n"/>
      <c r="L1348" s="91" t="n"/>
      <c r="M1348" s="95" t="n"/>
      <c r="N1348" s="91" t="n"/>
      <c r="O1348" s="91" t="n"/>
      <c r="P1348" s="91" t="n"/>
    </row>
    <row r="1349" ht="32" customHeight="1">
      <c r="A1349" s="92" t="n"/>
      <c r="B1349" s="92" t="n"/>
      <c r="C1349" s="92" t="n"/>
      <c r="D1349" s="92" t="n"/>
      <c r="E1349" s="92" t="n"/>
      <c r="F1349" s="96" t="n"/>
      <c r="G1349" s="96" t="n"/>
      <c r="H1349" s="92" t="n"/>
      <c r="I1349" s="92" t="n"/>
      <c r="J1349" s="92" t="n"/>
      <c r="K1349" s="92" t="n"/>
      <c r="L1349" s="92" t="n"/>
      <c r="M1349" s="97" t="n"/>
      <c r="N1349" s="92" t="n"/>
      <c r="O1349" s="92" t="n"/>
      <c r="P1349" s="92" t="n"/>
    </row>
    <row r="1350" ht="32" customHeight="1">
      <c r="A1350" s="91" t="n"/>
      <c r="B1350" s="91" t="n"/>
      <c r="C1350" s="91" t="n"/>
      <c r="D1350" s="91" t="n"/>
      <c r="E1350" s="91" t="n"/>
      <c r="F1350" s="94" t="n"/>
      <c r="G1350" s="94" t="n"/>
      <c r="H1350" s="91" t="n"/>
      <c r="I1350" s="91" t="n"/>
      <c r="J1350" s="91" t="n"/>
      <c r="K1350" s="91" t="n"/>
      <c r="L1350" s="91" t="n"/>
      <c r="M1350" s="95" t="n"/>
      <c r="N1350" s="91" t="n"/>
      <c r="O1350" s="91" t="n"/>
      <c r="P1350" s="91" t="n"/>
    </row>
    <row r="1351" ht="32" customHeight="1">
      <c r="A1351" s="92" t="n"/>
      <c r="B1351" s="92" t="n"/>
      <c r="C1351" s="92" t="n"/>
      <c r="D1351" s="92" t="n"/>
      <c r="E1351" s="92" t="n"/>
      <c r="F1351" s="96" t="n"/>
      <c r="G1351" s="96" t="n"/>
      <c r="H1351" s="92" t="n"/>
      <c r="I1351" s="92" t="n"/>
      <c r="J1351" s="92" t="n"/>
      <c r="K1351" s="92" t="n"/>
      <c r="L1351" s="92" t="n"/>
      <c r="M1351" s="97" t="n"/>
      <c r="N1351" s="92" t="n"/>
      <c r="O1351" s="92" t="n"/>
      <c r="P1351" s="92" t="n"/>
    </row>
    <row r="1352" ht="32" customHeight="1">
      <c r="A1352" s="91" t="n"/>
      <c r="B1352" s="91" t="n"/>
      <c r="C1352" s="91" t="n"/>
      <c r="D1352" s="91" t="n"/>
      <c r="E1352" s="91" t="n"/>
      <c r="F1352" s="94" t="n"/>
      <c r="G1352" s="94" t="n"/>
      <c r="H1352" s="91" t="n"/>
      <c r="I1352" s="91" t="n"/>
      <c r="J1352" s="91" t="n"/>
      <c r="K1352" s="91" t="n"/>
      <c r="L1352" s="91" t="n"/>
      <c r="M1352" s="95" t="n"/>
      <c r="N1352" s="91" t="n"/>
      <c r="O1352" s="91" t="n"/>
      <c r="P1352" s="91" t="n"/>
    </row>
    <row r="1353" ht="32" customHeight="1">
      <c r="A1353" s="92" t="n"/>
      <c r="B1353" s="92" t="n"/>
      <c r="C1353" s="92" t="n"/>
      <c r="D1353" s="92" t="n"/>
      <c r="E1353" s="92" t="n"/>
      <c r="F1353" s="96" t="n"/>
      <c r="G1353" s="96" t="n"/>
      <c r="H1353" s="92" t="n"/>
      <c r="I1353" s="92" t="n"/>
      <c r="J1353" s="92" t="n"/>
      <c r="K1353" s="92" t="n"/>
      <c r="L1353" s="92" t="n"/>
      <c r="M1353" s="97" t="n"/>
      <c r="N1353" s="92" t="n"/>
      <c r="O1353" s="92" t="n"/>
      <c r="P1353" s="92" t="n"/>
    </row>
    <row r="1354" ht="32" customHeight="1">
      <c r="A1354" s="91" t="n"/>
      <c r="B1354" s="91" t="n"/>
      <c r="C1354" s="91" t="n"/>
      <c r="D1354" s="91" t="n"/>
      <c r="E1354" s="91" t="n"/>
      <c r="F1354" s="94" t="n"/>
      <c r="G1354" s="94" t="n"/>
      <c r="H1354" s="91" t="n"/>
      <c r="I1354" s="91" t="n"/>
      <c r="J1354" s="91" t="n"/>
      <c r="K1354" s="91" t="n"/>
      <c r="L1354" s="91" t="n"/>
      <c r="M1354" s="95" t="n"/>
      <c r="N1354" s="91" t="n"/>
      <c r="O1354" s="91" t="n"/>
      <c r="P1354" s="91" t="n"/>
    </row>
    <row r="1355" ht="32" customHeight="1">
      <c r="A1355" s="92" t="n"/>
      <c r="B1355" s="92" t="n"/>
      <c r="C1355" s="92" t="n"/>
      <c r="D1355" s="92" t="n"/>
      <c r="E1355" s="92" t="n"/>
      <c r="F1355" s="96" t="n"/>
      <c r="G1355" s="96" t="n"/>
      <c r="H1355" s="92" t="n"/>
      <c r="I1355" s="92" t="n"/>
      <c r="J1355" s="92" t="n"/>
      <c r="K1355" s="92" t="n"/>
      <c r="L1355" s="92" t="n"/>
      <c r="M1355" s="97" t="n"/>
      <c r="N1355" s="92" t="n"/>
      <c r="O1355" s="92" t="n"/>
      <c r="P1355" s="92" t="n"/>
    </row>
    <row r="1356" ht="32" customHeight="1">
      <c r="A1356" s="91" t="n"/>
      <c r="B1356" s="91" t="n"/>
      <c r="C1356" s="91" t="n"/>
      <c r="D1356" s="91" t="n"/>
      <c r="E1356" s="91" t="n"/>
      <c r="F1356" s="94" t="n"/>
      <c r="G1356" s="94" t="n"/>
      <c r="H1356" s="91" t="n"/>
      <c r="I1356" s="91" t="n"/>
      <c r="J1356" s="91" t="n"/>
      <c r="K1356" s="91" t="n"/>
      <c r="L1356" s="91" t="n"/>
      <c r="M1356" s="95" t="n"/>
      <c r="N1356" s="91" t="n"/>
      <c r="O1356" s="91" t="n"/>
      <c r="P1356" s="91" t="n"/>
    </row>
    <row r="1357" ht="32" customHeight="1">
      <c r="A1357" s="92" t="n"/>
      <c r="B1357" s="92" t="n"/>
      <c r="C1357" s="92" t="n"/>
      <c r="D1357" s="92" t="n"/>
      <c r="E1357" s="92" t="n"/>
      <c r="F1357" s="96" t="n"/>
      <c r="G1357" s="96" t="n"/>
      <c r="H1357" s="92" t="n"/>
      <c r="I1357" s="92" t="n"/>
      <c r="J1357" s="92" t="n"/>
      <c r="K1357" s="92" t="n"/>
      <c r="L1357" s="92" t="n"/>
      <c r="M1357" s="97" t="n"/>
      <c r="N1357" s="92" t="n"/>
      <c r="O1357" s="92" t="n"/>
      <c r="P1357" s="92" t="n"/>
    </row>
    <row r="1358" ht="32" customHeight="1">
      <c r="A1358" s="91" t="n"/>
      <c r="B1358" s="91" t="n"/>
      <c r="C1358" s="91" t="n"/>
      <c r="D1358" s="91" t="n"/>
      <c r="E1358" s="91" t="n"/>
      <c r="F1358" s="94" t="n"/>
      <c r="G1358" s="94" t="n"/>
      <c r="H1358" s="91" t="n"/>
      <c r="I1358" s="91" t="n"/>
      <c r="J1358" s="91" t="n"/>
      <c r="K1358" s="91" t="n"/>
      <c r="L1358" s="91" t="n"/>
      <c r="M1358" s="95" t="n"/>
      <c r="N1358" s="91" t="n"/>
      <c r="O1358" s="91" t="n"/>
      <c r="P1358" s="91" t="n"/>
    </row>
    <row r="1359" ht="32" customHeight="1">
      <c r="A1359" s="92" t="n"/>
      <c r="B1359" s="92" t="n"/>
      <c r="C1359" s="92" t="n"/>
      <c r="D1359" s="92" t="n"/>
      <c r="E1359" s="92" t="n"/>
      <c r="F1359" s="96" t="n"/>
      <c r="G1359" s="96" t="n"/>
      <c r="H1359" s="92" t="n"/>
      <c r="I1359" s="92" t="n"/>
      <c r="J1359" s="92" t="n"/>
      <c r="K1359" s="92" t="n"/>
      <c r="L1359" s="92" t="n"/>
      <c r="M1359" s="97" t="n"/>
      <c r="N1359" s="92" t="n"/>
      <c r="O1359" s="92" t="n"/>
      <c r="P1359" s="92" t="n"/>
    </row>
    <row r="1360" ht="32" customHeight="1">
      <c r="A1360" s="91" t="n"/>
      <c r="B1360" s="91" t="n"/>
      <c r="C1360" s="91" t="n"/>
      <c r="D1360" s="91" t="n"/>
      <c r="E1360" s="91" t="n"/>
      <c r="F1360" s="94" t="n"/>
      <c r="G1360" s="94" t="n"/>
      <c r="H1360" s="91" t="n"/>
      <c r="I1360" s="91" t="n"/>
      <c r="J1360" s="91" t="n"/>
      <c r="K1360" s="91" t="n"/>
      <c r="L1360" s="91" t="n"/>
      <c r="M1360" s="95" t="n"/>
      <c r="N1360" s="91" t="n"/>
      <c r="O1360" s="91" t="n"/>
      <c r="P1360" s="91" t="n"/>
    </row>
    <row r="1361" ht="32" customHeight="1">
      <c r="A1361" s="92" t="n"/>
      <c r="B1361" s="92" t="n"/>
      <c r="C1361" s="92" t="n"/>
      <c r="D1361" s="92" t="n"/>
      <c r="E1361" s="92" t="n"/>
      <c r="F1361" s="96" t="n"/>
      <c r="G1361" s="96" t="n"/>
      <c r="H1361" s="92" t="n"/>
      <c r="I1361" s="92" t="n"/>
      <c r="J1361" s="92" t="n"/>
      <c r="K1361" s="92" t="n"/>
      <c r="L1361" s="92" t="n"/>
      <c r="M1361" s="97" t="n"/>
      <c r="N1361" s="92" t="n"/>
      <c r="O1361" s="92" t="n"/>
      <c r="P1361" s="92" t="n"/>
    </row>
    <row r="1362" ht="32" customHeight="1">
      <c r="A1362" s="91" t="n"/>
      <c r="B1362" s="91" t="n"/>
      <c r="C1362" s="91" t="n"/>
      <c r="D1362" s="91" t="n"/>
      <c r="E1362" s="91" t="n"/>
      <c r="F1362" s="94" t="n"/>
      <c r="G1362" s="94" t="n"/>
      <c r="H1362" s="91" t="n"/>
      <c r="I1362" s="91" t="n"/>
      <c r="J1362" s="91" t="n"/>
      <c r="K1362" s="91" t="n"/>
      <c r="L1362" s="91" t="n"/>
      <c r="M1362" s="95" t="n"/>
      <c r="N1362" s="91" t="n"/>
      <c r="O1362" s="91" t="n"/>
      <c r="P1362" s="91" t="n"/>
    </row>
    <row r="1363" ht="32" customHeight="1">
      <c r="A1363" s="92" t="n"/>
      <c r="B1363" s="92" t="n"/>
      <c r="C1363" s="92" t="n"/>
      <c r="D1363" s="92" t="n"/>
      <c r="E1363" s="92" t="n"/>
      <c r="F1363" s="96" t="n"/>
      <c r="G1363" s="96" t="n"/>
      <c r="H1363" s="92" t="n"/>
      <c r="I1363" s="92" t="n"/>
      <c r="J1363" s="92" t="n"/>
      <c r="K1363" s="92" t="n"/>
      <c r="L1363" s="92" t="n"/>
      <c r="M1363" s="97" t="n"/>
      <c r="N1363" s="92" t="n"/>
      <c r="O1363" s="92" t="n"/>
      <c r="P1363" s="92" t="n"/>
    </row>
    <row r="1364" ht="32" customHeight="1">
      <c r="A1364" s="91" t="n"/>
      <c r="B1364" s="91" t="n"/>
      <c r="C1364" s="91" t="n"/>
      <c r="D1364" s="91" t="n"/>
      <c r="E1364" s="91" t="n"/>
      <c r="F1364" s="94" t="n"/>
      <c r="G1364" s="94" t="n"/>
      <c r="H1364" s="91" t="n"/>
      <c r="I1364" s="91" t="n"/>
      <c r="J1364" s="91" t="n"/>
      <c r="K1364" s="91" t="n"/>
      <c r="L1364" s="91" t="n"/>
      <c r="M1364" s="95" t="n"/>
      <c r="N1364" s="91" t="n"/>
      <c r="O1364" s="91" t="n"/>
      <c r="P1364" s="91" t="n"/>
    </row>
    <row r="1365" ht="32" customHeight="1">
      <c r="A1365" s="92" t="n"/>
      <c r="B1365" s="92" t="n"/>
      <c r="C1365" s="92" t="n"/>
      <c r="D1365" s="92" t="n"/>
      <c r="E1365" s="92" t="n"/>
      <c r="F1365" s="96" t="n"/>
      <c r="G1365" s="96" t="n"/>
      <c r="H1365" s="92" t="n"/>
      <c r="I1365" s="92" t="n"/>
      <c r="J1365" s="92" t="n"/>
      <c r="K1365" s="92" t="n"/>
      <c r="L1365" s="92" t="n"/>
      <c r="M1365" s="97" t="n"/>
      <c r="N1365" s="92" t="n"/>
      <c r="O1365" s="92" t="n"/>
      <c r="P1365" s="92" t="n"/>
    </row>
    <row r="1366" ht="32" customHeight="1">
      <c r="A1366" s="91" t="n"/>
      <c r="B1366" s="91" t="n"/>
      <c r="C1366" s="91" t="n"/>
      <c r="D1366" s="91" t="n"/>
      <c r="E1366" s="91" t="n"/>
      <c r="F1366" s="94" t="n"/>
      <c r="G1366" s="94" t="n"/>
      <c r="H1366" s="91" t="n"/>
      <c r="I1366" s="91" t="n"/>
      <c r="J1366" s="91" t="n"/>
      <c r="K1366" s="91" t="n"/>
      <c r="L1366" s="91" t="n"/>
      <c r="M1366" s="95" t="n"/>
      <c r="N1366" s="91" t="n"/>
      <c r="O1366" s="91" t="n"/>
      <c r="P1366" s="91" t="n"/>
    </row>
    <row r="1367" ht="32" customHeight="1">
      <c r="A1367" s="92" t="n"/>
      <c r="B1367" s="92" t="n"/>
      <c r="C1367" s="92" t="n"/>
      <c r="D1367" s="92" t="n"/>
      <c r="E1367" s="92" t="n"/>
      <c r="F1367" s="96" t="n"/>
      <c r="G1367" s="96" t="n"/>
      <c r="H1367" s="92" t="n"/>
      <c r="I1367" s="92" t="n"/>
      <c r="J1367" s="92" t="n"/>
      <c r="K1367" s="92" t="n"/>
      <c r="L1367" s="92" t="n"/>
      <c r="M1367" s="97" t="n"/>
      <c r="N1367" s="92" t="n"/>
      <c r="O1367" s="92" t="n"/>
      <c r="P1367" s="92" t="n"/>
    </row>
    <row r="1368" ht="32" customHeight="1">
      <c r="A1368" s="91" t="n"/>
      <c r="B1368" s="91" t="n"/>
      <c r="C1368" s="91" t="n"/>
      <c r="D1368" s="91" t="n"/>
      <c r="E1368" s="91" t="n"/>
      <c r="F1368" s="94" t="n"/>
      <c r="G1368" s="94" t="n"/>
      <c r="H1368" s="91" t="n"/>
      <c r="I1368" s="91" t="n"/>
      <c r="J1368" s="91" t="n"/>
      <c r="K1368" s="91" t="n"/>
      <c r="L1368" s="91" t="n"/>
      <c r="M1368" s="95" t="n"/>
      <c r="N1368" s="91" t="n"/>
      <c r="O1368" s="91" t="n"/>
      <c r="P1368" s="91" t="n"/>
    </row>
    <row r="1369" ht="32" customHeight="1">
      <c r="A1369" s="92" t="n"/>
      <c r="B1369" s="92" t="n"/>
      <c r="C1369" s="92" t="n"/>
      <c r="D1369" s="92" t="n"/>
      <c r="E1369" s="92" t="n"/>
      <c r="F1369" s="96" t="n"/>
      <c r="G1369" s="96" t="n"/>
      <c r="H1369" s="92" t="n"/>
      <c r="I1369" s="92" t="n"/>
      <c r="J1369" s="92" t="n"/>
      <c r="K1369" s="92" t="n"/>
      <c r="L1369" s="92" t="n"/>
      <c r="M1369" s="97" t="n"/>
      <c r="N1369" s="92" t="n"/>
      <c r="O1369" s="92" t="n"/>
      <c r="P1369" s="92" t="n"/>
    </row>
    <row r="1370" ht="32" customHeight="1">
      <c r="A1370" s="91" t="n"/>
      <c r="B1370" s="91" t="n"/>
      <c r="C1370" s="91" t="n"/>
      <c r="D1370" s="91" t="n"/>
      <c r="E1370" s="91" t="n"/>
      <c r="F1370" s="94" t="n"/>
      <c r="G1370" s="94" t="n"/>
      <c r="H1370" s="91" t="n"/>
      <c r="I1370" s="91" t="n"/>
      <c r="J1370" s="91" t="n"/>
      <c r="K1370" s="91" t="n"/>
      <c r="L1370" s="91" t="n"/>
      <c r="M1370" s="95" t="n"/>
      <c r="N1370" s="91" t="n"/>
      <c r="O1370" s="91" t="n"/>
      <c r="P1370" s="91" t="n"/>
    </row>
    <row r="1371" ht="32" customHeight="1">
      <c r="A1371" s="92" t="n"/>
      <c r="B1371" s="92" t="n"/>
      <c r="C1371" s="92" t="n"/>
      <c r="D1371" s="92" t="n"/>
      <c r="E1371" s="92" t="n"/>
      <c r="F1371" s="96" t="n"/>
      <c r="G1371" s="96" t="n"/>
      <c r="H1371" s="92" t="n"/>
      <c r="I1371" s="92" t="n"/>
      <c r="J1371" s="92" t="n"/>
      <c r="K1371" s="92" t="n"/>
      <c r="L1371" s="92" t="n"/>
      <c r="M1371" s="97" t="n"/>
      <c r="N1371" s="92" t="n"/>
      <c r="O1371" s="92" t="n"/>
      <c r="P1371" s="92" t="n"/>
    </row>
    <row r="1372" ht="32" customHeight="1">
      <c r="A1372" s="91" t="n"/>
      <c r="B1372" s="91" t="n"/>
      <c r="C1372" s="91" t="n"/>
      <c r="D1372" s="91" t="n"/>
      <c r="E1372" s="91" t="n"/>
      <c r="F1372" s="94" t="n"/>
      <c r="G1372" s="94" t="n"/>
      <c r="H1372" s="91" t="n"/>
      <c r="I1372" s="91" t="n"/>
      <c r="J1372" s="91" t="n"/>
      <c r="K1372" s="91" t="n"/>
      <c r="L1372" s="91" t="n"/>
      <c r="M1372" s="95" t="n"/>
      <c r="N1372" s="91" t="n"/>
      <c r="O1372" s="91" t="n"/>
      <c r="P1372" s="91" t="n"/>
    </row>
    <row r="1373" ht="32" customHeight="1">
      <c r="A1373" s="92" t="n"/>
      <c r="B1373" s="92" t="n"/>
      <c r="C1373" s="92" t="n"/>
      <c r="D1373" s="92" t="n"/>
      <c r="E1373" s="92" t="n"/>
      <c r="F1373" s="96" t="n"/>
      <c r="G1373" s="96" t="n"/>
      <c r="H1373" s="92" t="n"/>
      <c r="I1373" s="92" t="n"/>
      <c r="J1373" s="92" t="n"/>
      <c r="K1373" s="92" t="n"/>
      <c r="L1373" s="92" t="n"/>
      <c r="M1373" s="97" t="n"/>
      <c r="N1373" s="92" t="n"/>
      <c r="O1373" s="92" t="n"/>
      <c r="P1373" s="92" t="n"/>
    </row>
    <row r="1374" ht="32" customHeight="1">
      <c r="A1374" s="91" t="n"/>
      <c r="B1374" s="91" t="n"/>
      <c r="C1374" s="91" t="n"/>
      <c r="D1374" s="91" t="n"/>
      <c r="E1374" s="91" t="n"/>
      <c r="F1374" s="94" t="n"/>
      <c r="G1374" s="94" t="n"/>
      <c r="H1374" s="91" t="n"/>
      <c r="I1374" s="91" t="n"/>
      <c r="J1374" s="91" t="n"/>
      <c r="K1374" s="91" t="n"/>
      <c r="L1374" s="91" t="n"/>
      <c r="M1374" s="95" t="n"/>
      <c r="N1374" s="91" t="n"/>
      <c r="O1374" s="91" t="n"/>
      <c r="P1374" s="91" t="n"/>
    </row>
    <row r="1375" ht="32" customHeight="1">
      <c r="A1375" s="92" t="n"/>
      <c r="B1375" s="92" t="n"/>
      <c r="C1375" s="92" t="n"/>
      <c r="D1375" s="92" t="n"/>
      <c r="E1375" s="92" t="n"/>
      <c r="F1375" s="96" t="n"/>
      <c r="G1375" s="96" t="n"/>
      <c r="H1375" s="92" t="n"/>
      <c r="I1375" s="92" t="n"/>
      <c r="J1375" s="92" t="n"/>
      <c r="K1375" s="92" t="n"/>
      <c r="L1375" s="92" t="n"/>
      <c r="M1375" s="97" t="n"/>
      <c r="N1375" s="92" t="n"/>
      <c r="O1375" s="92" t="n"/>
      <c r="P1375" s="92" t="n"/>
    </row>
    <row r="1376" ht="32" customHeight="1">
      <c r="A1376" s="91" t="n"/>
      <c r="B1376" s="91" t="n"/>
      <c r="C1376" s="91" t="n"/>
      <c r="D1376" s="91" t="n"/>
      <c r="E1376" s="91" t="n"/>
      <c r="F1376" s="94" t="n"/>
      <c r="G1376" s="94" t="n"/>
      <c r="H1376" s="91" t="n"/>
      <c r="I1376" s="91" t="n"/>
      <c r="J1376" s="91" t="n"/>
      <c r="K1376" s="91" t="n"/>
      <c r="L1376" s="91" t="n"/>
      <c r="M1376" s="95" t="n"/>
      <c r="N1376" s="91" t="n"/>
      <c r="O1376" s="91" t="n"/>
      <c r="P1376" s="91" t="n"/>
    </row>
    <row r="1377" ht="32" customHeight="1">
      <c r="A1377" s="92" t="n"/>
      <c r="B1377" s="92" t="n"/>
      <c r="C1377" s="92" t="n"/>
      <c r="D1377" s="92" t="n"/>
      <c r="E1377" s="92" t="n"/>
      <c r="F1377" s="96" t="n"/>
      <c r="G1377" s="96" t="n"/>
      <c r="H1377" s="92" t="n"/>
      <c r="I1377" s="92" t="n"/>
      <c r="J1377" s="92" t="n"/>
      <c r="K1377" s="92" t="n"/>
      <c r="L1377" s="92" t="n"/>
      <c r="M1377" s="97" t="n"/>
      <c r="N1377" s="92" t="n"/>
      <c r="O1377" s="92" t="n"/>
      <c r="P1377" s="92" t="n"/>
    </row>
    <row r="1378" ht="32" customHeight="1">
      <c r="A1378" s="91" t="n"/>
      <c r="B1378" s="91" t="n"/>
      <c r="C1378" s="91" t="n"/>
      <c r="D1378" s="91" t="n"/>
      <c r="E1378" s="91" t="n"/>
      <c r="F1378" s="94" t="n"/>
      <c r="G1378" s="94" t="n"/>
      <c r="H1378" s="91" t="n"/>
      <c r="I1378" s="91" t="n"/>
      <c r="J1378" s="91" t="n"/>
      <c r="K1378" s="91" t="n"/>
      <c r="L1378" s="91" t="n"/>
      <c r="M1378" s="95" t="n"/>
      <c r="N1378" s="91" t="n"/>
      <c r="O1378" s="91" t="n"/>
      <c r="P1378" s="91" t="n"/>
    </row>
    <row r="1379" ht="32" customHeight="1">
      <c r="A1379" s="92" t="n"/>
      <c r="B1379" s="92" t="n"/>
      <c r="C1379" s="92" t="n"/>
      <c r="D1379" s="92" t="n"/>
      <c r="E1379" s="92" t="n"/>
      <c r="F1379" s="96" t="n"/>
      <c r="G1379" s="96" t="n"/>
      <c r="H1379" s="92" t="n"/>
      <c r="I1379" s="92" t="n"/>
      <c r="J1379" s="92" t="n"/>
      <c r="K1379" s="92" t="n"/>
      <c r="L1379" s="92" t="n"/>
      <c r="M1379" s="97" t="n"/>
      <c r="N1379" s="92" t="n"/>
      <c r="O1379" s="92" t="n"/>
      <c r="P1379" s="92" t="n"/>
    </row>
    <row r="1380" ht="32" customHeight="1">
      <c r="A1380" s="91" t="n"/>
      <c r="B1380" s="91" t="n"/>
      <c r="C1380" s="91" t="n"/>
      <c r="D1380" s="91" t="n"/>
      <c r="E1380" s="91" t="n"/>
      <c r="F1380" s="94" t="n"/>
      <c r="G1380" s="94" t="n"/>
      <c r="H1380" s="91" t="n"/>
      <c r="I1380" s="91" t="n"/>
      <c r="J1380" s="91" t="n"/>
      <c r="K1380" s="91" t="n"/>
      <c r="L1380" s="91" t="n"/>
      <c r="M1380" s="95" t="n"/>
      <c r="N1380" s="91" t="n"/>
      <c r="O1380" s="91" t="n"/>
      <c r="P1380" s="91" t="n"/>
    </row>
    <row r="1381" ht="32" customHeight="1">
      <c r="A1381" s="92" t="n"/>
      <c r="B1381" s="92" t="n"/>
      <c r="C1381" s="92" t="n"/>
      <c r="D1381" s="92" t="n"/>
      <c r="E1381" s="92" t="n"/>
      <c r="F1381" s="96" t="n"/>
      <c r="G1381" s="96" t="n"/>
      <c r="H1381" s="92" t="n"/>
      <c r="I1381" s="92" t="n"/>
      <c r="J1381" s="92" t="n"/>
      <c r="K1381" s="92" t="n"/>
      <c r="L1381" s="92" t="n"/>
      <c r="M1381" s="97" t="n"/>
      <c r="N1381" s="92" t="n"/>
      <c r="O1381" s="92" t="n"/>
      <c r="P1381" s="92" t="n"/>
    </row>
    <row r="1382" ht="32" customHeight="1">
      <c r="A1382" s="91" t="n"/>
      <c r="B1382" s="91" t="n"/>
      <c r="C1382" s="91" t="n"/>
      <c r="D1382" s="91" t="n"/>
      <c r="E1382" s="91" t="n"/>
      <c r="F1382" s="94" t="n"/>
      <c r="G1382" s="94" t="n"/>
      <c r="H1382" s="91" t="n"/>
      <c r="I1382" s="91" t="n"/>
      <c r="J1382" s="91" t="n"/>
      <c r="K1382" s="91" t="n"/>
      <c r="L1382" s="91" t="n"/>
      <c r="M1382" s="95" t="n"/>
      <c r="N1382" s="91" t="n"/>
      <c r="O1382" s="91" t="n"/>
      <c r="P1382" s="91" t="n"/>
    </row>
    <row r="1383" ht="32" customHeight="1">
      <c r="A1383" s="92" t="n"/>
      <c r="B1383" s="92" t="n"/>
      <c r="C1383" s="92" t="n"/>
      <c r="D1383" s="92" t="n"/>
      <c r="E1383" s="92" t="n"/>
      <c r="F1383" s="96" t="n"/>
      <c r="G1383" s="96" t="n"/>
      <c r="H1383" s="92" t="n"/>
      <c r="I1383" s="92" t="n"/>
      <c r="J1383" s="92" t="n"/>
      <c r="K1383" s="92" t="n"/>
      <c r="L1383" s="92" t="n"/>
      <c r="M1383" s="97" t="n"/>
      <c r="N1383" s="92" t="n"/>
      <c r="O1383" s="92" t="n"/>
      <c r="P1383" s="92" t="n"/>
    </row>
    <row r="1384" ht="32" customHeight="1">
      <c r="A1384" s="91" t="n"/>
      <c r="B1384" s="91" t="n"/>
      <c r="C1384" s="91" t="n"/>
      <c r="D1384" s="91" t="n"/>
      <c r="E1384" s="91" t="n"/>
      <c r="F1384" s="94" t="n"/>
      <c r="G1384" s="94" t="n"/>
      <c r="H1384" s="91" t="n"/>
      <c r="I1384" s="91" t="n"/>
      <c r="J1384" s="91" t="n"/>
      <c r="K1384" s="91" t="n"/>
      <c r="L1384" s="91" t="n"/>
      <c r="M1384" s="95" t="n"/>
      <c r="N1384" s="91" t="n"/>
      <c r="O1384" s="91" t="n"/>
      <c r="P1384" s="91" t="n"/>
    </row>
    <row r="1385" ht="32" customHeight="1">
      <c r="A1385" s="92" t="n"/>
      <c r="B1385" s="92" t="n"/>
      <c r="C1385" s="92" t="n"/>
      <c r="D1385" s="92" t="n"/>
      <c r="E1385" s="92" t="n"/>
      <c r="F1385" s="96" t="n"/>
      <c r="G1385" s="96" t="n"/>
      <c r="H1385" s="92" t="n"/>
      <c r="I1385" s="92" t="n"/>
      <c r="J1385" s="92" t="n"/>
      <c r="K1385" s="92" t="n"/>
      <c r="L1385" s="92" t="n"/>
      <c r="M1385" s="97" t="n"/>
      <c r="N1385" s="92" t="n"/>
      <c r="O1385" s="92" t="n"/>
      <c r="P1385" s="92" t="n"/>
    </row>
    <row r="1386" ht="32" customHeight="1">
      <c r="A1386" s="91" t="n"/>
      <c r="B1386" s="91" t="n"/>
      <c r="C1386" s="91" t="n"/>
      <c r="D1386" s="91" t="n"/>
      <c r="E1386" s="91" t="n"/>
      <c r="F1386" s="94" t="n"/>
      <c r="G1386" s="94" t="n"/>
      <c r="H1386" s="91" t="n"/>
      <c r="I1386" s="91" t="n"/>
      <c r="J1386" s="91" t="n"/>
      <c r="K1386" s="91" t="n"/>
      <c r="L1386" s="91" t="n"/>
      <c r="M1386" s="95" t="n"/>
      <c r="N1386" s="91" t="n"/>
      <c r="O1386" s="91" t="n"/>
      <c r="P1386" s="91" t="n"/>
    </row>
    <row r="1387" ht="32" customHeight="1">
      <c r="A1387" s="92" t="n"/>
      <c r="B1387" s="92" t="n"/>
      <c r="C1387" s="92" t="n"/>
      <c r="D1387" s="92" t="n"/>
      <c r="E1387" s="92" t="n"/>
      <c r="F1387" s="96" t="n"/>
      <c r="G1387" s="96" t="n"/>
      <c r="H1387" s="92" t="n"/>
      <c r="I1387" s="92" t="n"/>
      <c r="J1387" s="92" t="n"/>
      <c r="K1387" s="92" t="n"/>
      <c r="L1387" s="92" t="n"/>
      <c r="M1387" s="97" t="n"/>
      <c r="N1387" s="92" t="n"/>
      <c r="O1387" s="92" t="n"/>
      <c r="P1387" s="92" t="n"/>
    </row>
    <row r="1388" ht="32" customHeight="1">
      <c r="A1388" s="91" t="n"/>
      <c r="B1388" s="91" t="n"/>
      <c r="C1388" s="91" t="n"/>
      <c r="D1388" s="91" t="n"/>
      <c r="E1388" s="91" t="n"/>
      <c r="F1388" s="94" t="n"/>
      <c r="G1388" s="94" t="n"/>
      <c r="H1388" s="91" t="n"/>
      <c r="I1388" s="91" t="n"/>
      <c r="J1388" s="91" t="n"/>
      <c r="K1388" s="91" t="n"/>
      <c r="L1388" s="91" t="n"/>
      <c r="M1388" s="95" t="n"/>
      <c r="N1388" s="91" t="n"/>
      <c r="O1388" s="91" t="n"/>
      <c r="P1388" s="91" t="n"/>
    </row>
    <row r="1389" ht="32" customHeight="1">
      <c r="A1389" s="92" t="n"/>
      <c r="B1389" s="92" t="n"/>
      <c r="C1389" s="92" t="n"/>
      <c r="D1389" s="92" t="n"/>
      <c r="E1389" s="92" t="n"/>
      <c r="F1389" s="96" t="n"/>
      <c r="G1389" s="96" t="n"/>
      <c r="H1389" s="92" t="n"/>
      <c r="I1389" s="92" t="n"/>
      <c r="J1389" s="92" t="n"/>
      <c r="K1389" s="92" t="n"/>
      <c r="L1389" s="92" t="n"/>
      <c r="M1389" s="97" t="n"/>
      <c r="N1389" s="92" t="n"/>
      <c r="O1389" s="92" t="n"/>
      <c r="P1389" s="92" t="n"/>
    </row>
    <row r="1390" ht="32" customHeight="1">
      <c r="A1390" s="91" t="n"/>
      <c r="B1390" s="91" t="n"/>
      <c r="C1390" s="91" t="n"/>
      <c r="D1390" s="91" t="n"/>
      <c r="E1390" s="91" t="n"/>
      <c r="F1390" s="94" t="n"/>
      <c r="G1390" s="94" t="n"/>
      <c r="H1390" s="91" t="n"/>
      <c r="I1390" s="91" t="n"/>
      <c r="J1390" s="91" t="n"/>
      <c r="K1390" s="91" t="n"/>
      <c r="L1390" s="91" t="n"/>
      <c r="M1390" s="95" t="n"/>
      <c r="N1390" s="91" t="n"/>
      <c r="O1390" s="91" t="n"/>
      <c r="P1390" s="91" t="n"/>
    </row>
    <row r="1391" ht="32" customHeight="1">
      <c r="A1391" s="92" t="n"/>
      <c r="B1391" s="92" t="n"/>
      <c r="C1391" s="92" t="n"/>
      <c r="D1391" s="92" t="n"/>
      <c r="E1391" s="92" t="n"/>
      <c r="F1391" s="96" t="n"/>
      <c r="G1391" s="96" t="n"/>
      <c r="H1391" s="92" t="n"/>
      <c r="I1391" s="92" t="n"/>
      <c r="J1391" s="92" t="n"/>
      <c r="K1391" s="92" t="n"/>
      <c r="L1391" s="92" t="n"/>
      <c r="M1391" s="97" t="n"/>
      <c r="N1391" s="92" t="n"/>
      <c r="O1391" s="92" t="n"/>
      <c r="P1391" s="92" t="n"/>
    </row>
    <row r="1392" ht="32" customHeight="1">
      <c r="A1392" s="91" t="n"/>
      <c r="B1392" s="91" t="n"/>
      <c r="C1392" s="91" t="n"/>
      <c r="D1392" s="91" t="n"/>
      <c r="E1392" s="91" t="n"/>
      <c r="F1392" s="94" t="n"/>
      <c r="G1392" s="94" t="n"/>
      <c r="H1392" s="91" t="n"/>
      <c r="I1392" s="91" t="n"/>
      <c r="J1392" s="91" t="n"/>
      <c r="K1392" s="91" t="n"/>
      <c r="L1392" s="91" t="n"/>
      <c r="M1392" s="95" t="n"/>
      <c r="N1392" s="91" t="n"/>
      <c r="O1392" s="91" t="n"/>
      <c r="P1392" s="91" t="n"/>
    </row>
    <row r="1393" ht="32" customHeight="1">
      <c r="A1393" s="92" t="n"/>
      <c r="B1393" s="92" t="n"/>
      <c r="C1393" s="92" t="n"/>
      <c r="D1393" s="92" t="n"/>
      <c r="E1393" s="92" t="n"/>
      <c r="F1393" s="96" t="n"/>
      <c r="G1393" s="96" t="n"/>
      <c r="H1393" s="92" t="n"/>
      <c r="I1393" s="92" t="n"/>
      <c r="J1393" s="92" t="n"/>
      <c r="K1393" s="92" t="n"/>
      <c r="L1393" s="92" t="n"/>
      <c r="M1393" s="97" t="n"/>
      <c r="N1393" s="92" t="n"/>
      <c r="O1393" s="92" t="n"/>
      <c r="P1393" s="92" t="n"/>
    </row>
    <row r="1394" ht="32" customHeight="1">
      <c r="A1394" s="91" t="n"/>
      <c r="B1394" s="91" t="n"/>
      <c r="C1394" s="91" t="n"/>
      <c r="D1394" s="91" t="n"/>
      <c r="E1394" s="91" t="n"/>
      <c r="F1394" s="94" t="n"/>
      <c r="G1394" s="94" t="n"/>
      <c r="H1394" s="91" t="n"/>
      <c r="I1394" s="91" t="n"/>
      <c r="J1394" s="91" t="n"/>
      <c r="K1394" s="91" t="n"/>
      <c r="L1394" s="91" t="n"/>
      <c r="M1394" s="95" t="n"/>
      <c r="N1394" s="91" t="n"/>
      <c r="O1394" s="91" t="n"/>
      <c r="P1394" s="91" t="n"/>
    </row>
    <row r="1395" ht="32" customHeight="1">
      <c r="A1395" s="92" t="n"/>
      <c r="B1395" s="92" t="n"/>
      <c r="C1395" s="92" t="n"/>
      <c r="D1395" s="92" t="n"/>
      <c r="E1395" s="92" t="n"/>
      <c r="F1395" s="96" t="n"/>
      <c r="G1395" s="96" t="n"/>
      <c r="H1395" s="92" t="n"/>
      <c r="I1395" s="92" t="n"/>
      <c r="J1395" s="92" t="n"/>
      <c r="K1395" s="92" t="n"/>
      <c r="L1395" s="92" t="n"/>
      <c r="M1395" s="97" t="n"/>
      <c r="N1395" s="92" t="n"/>
      <c r="O1395" s="92" t="n"/>
      <c r="P1395" s="92" t="n"/>
    </row>
    <row r="1396" ht="32" customHeight="1">
      <c r="A1396" s="91" t="n"/>
      <c r="B1396" s="91" t="n"/>
      <c r="C1396" s="91" t="n"/>
      <c r="D1396" s="91" t="n"/>
      <c r="E1396" s="91" t="n"/>
      <c r="F1396" s="94" t="n"/>
      <c r="G1396" s="94" t="n"/>
      <c r="H1396" s="91" t="n"/>
      <c r="I1396" s="91" t="n"/>
      <c r="J1396" s="91" t="n"/>
      <c r="K1396" s="91" t="n"/>
      <c r="L1396" s="91" t="n"/>
      <c r="M1396" s="95" t="n"/>
      <c r="N1396" s="91" t="n"/>
      <c r="O1396" s="91" t="n"/>
      <c r="P1396" s="91" t="n"/>
    </row>
    <row r="1397" ht="32" customHeight="1">
      <c r="A1397" s="92" t="n"/>
      <c r="B1397" s="92" t="n"/>
      <c r="C1397" s="92" t="n"/>
      <c r="D1397" s="92" t="n"/>
      <c r="E1397" s="92" t="n"/>
      <c r="F1397" s="96" t="n"/>
      <c r="G1397" s="96" t="n"/>
      <c r="H1397" s="92" t="n"/>
      <c r="I1397" s="92" t="n"/>
      <c r="J1397" s="92" t="n"/>
      <c r="K1397" s="92" t="n"/>
      <c r="L1397" s="92" t="n"/>
      <c r="M1397" s="97" t="n"/>
      <c r="N1397" s="92" t="n"/>
      <c r="O1397" s="92" t="n"/>
      <c r="P1397" s="92" t="n"/>
    </row>
    <row r="1398" ht="32" customHeight="1">
      <c r="A1398" s="91" t="n"/>
      <c r="B1398" s="91" t="n"/>
      <c r="C1398" s="91" t="n"/>
      <c r="D1398" s="91" t="n"/>
      <c r="E1398" s="91" t="n"/>
      <c r="F1398" s="94" t="n"/>
      <c r="G1398" s="94" t="n"/>
      <c r="H1398" s="91" t="n"/>
      <c r="I1398" s="91" t="n"/>
      <c r="J1398" s="91" t="n"/>
      <c r="K1398" s="91" t="n"/>
      <c r="L1398" s="91" t="n"/>
      <c r="M1398" s="95" t="n"/>
      <c r="N1398" s="91" t="n"/>
      <c r="O1398" s="91" t="n"/>
      <c r="P1398" s="91" t="n"/>
    </row>
    <row r="1399" ht="32" customHeight="1">
      <c r="A1399" s="92" t="n"/>
      <c r="B1399" s="92" t="n"/>
      <c r="C1399" s="92" t="n"/>
      <c r="D1399" s="92" t="n"/>
      <c r="E1399" s="92" t="n"/>
      <c r="F1399" s="96" t="n"/>
      <c r="G1399" s="96" t="n"/>
      <c r="H1399" s="92" t="n"/>
      <c r="I1399" s="92" t="n"/>
      <c r="J1399" s="92" t="n"/>
      <c r="K1399" s="92" t="n"/>
      <c r="L1399" s="92" t="n"/>
      <c r="M1399" s="97" t="n"/>
      <c r="N1399" s="92" t="n"/>
      <c r="O1399" s="92" t="n"/>
      <c r="P1399" s="92" t="n"/>
    </row>
    <row r="1400" ht="32" customHeight="1">
      <c r="A1400" s="91" t="n"/>
      <c r="B1400" s="91" t="n"/>
      <c r="C1400" s="91" t="n"/>
      <c r="D1400" s="91" t="n"/>
      <c r="E1400" s="91" t="n"/>
      <c r="F1400" s="94" t="n"/>
      <c r="G1400" s="94" t="n"/>
      <c r="H1400" s="91" t="n"/>
      <c r="I1400" s="91" t="n"/>
      <c r="J1400" s="91" t="n"/>
      <c r="K1400" s="91" t="n"/>
      <c r="L1400" s="91" t="n"/>
      <c r="M1400" s="95" t="n"/>
      <c r="N1400" s="91" t="n"/>
      <c r="O1400" s="91" t="n"/>
      <c r="P1400" s="91" t="n"/>
    </row>
    <row r="1401" ht="32" customHeight="1">
      <c r="A1401" s="92" t="n"/>
      <c r="B1401" s="92" t="n"/>
      <c r="C1401" s="92" t="n"/>
      <c r="D1401" s="92" t="n"/>
      <c r="E1401" s="92" t="n"/>
      <c r="F1401" s="96" t="n"/>
      <c r="G1401" s="96" t="n"/>
      <c r="H1401" s="92" t="n"/>
      <c r="I1401" s="92" t="n"/>
      <c r="J1401" s="92" t="n"/>
      <c r="K1401" s="92" t="n"/>
      <c r="L1401" s="92" t="n"/>
      <c r="M1401" s="97" t="n"/>
      <c r="N1401" s="92" t="n"/>
      <c r="O1401" s="92" t="n"/>
      <c r="P1401" s="92" t="n"/>
    </row>
    <row r="1402" ht="32" customHeight="1">
      <c r="A1402" s="91" t="n"/>
      <c r="B1402" s="91" t="n"/>
      <c r="C1402" s="91" t="n"/>
      <c r="D1402" s="91" t="n"/>
      <c r="E1402" s="91" t="n"/>
      <c r="F1402" s="94" t="n"/>
      <c r="G1402" s="94" t="n"/>
      <c r="H1402" s="91" t="n"/>
      <c r="I1402" s="91" t="n"/>
      <c r="J1402" s="91" t="n"/>
      <c r="K1402" s="91" t="n"/>
      <c r="L1402" s="91" t="n"/>
      <c r="M1402" s="95" t="n"/>
      <c r="N1402" s="91" t="n"/>
      <c r="O1402" s="91" t="n"/>
      <c r="P1402" s="91" t="n"/>
    </row>
    <row r="1403" ht="32" customHeight="1">
      <c r="A1403" s="92" t="n"/>
      <c r="B1403" s="92" t="n"/>
      <c r="C1403" s="92" t="n"/>
      <c r="D1403" s="92" t="n"/>
      <c r="E1403" s="92" t="n"/>
      <c r="F1403" s="96" t="n"/>
      <c r="G1403" s="96" t="n"/>
      <c r="H1403" s="92" t="n"/>
      <c r="I1403" s="92" t="n"/>
      <c r="J1403" s="92" t="n"/>
      <c r="K1403" s="92" t="n"/>
      <c r="L1403" s="92" t="n"/>
      <c r="M1403" s="97" t="n"/>
      <c r="N1403" s="92" t="n"/>
      <c r="O1403" s="92" t="n"/>
      <c r="P1403" s="92" t="n"/>
    </row>
    <row r="1404" ht="32" customHeight="1">
      <c r="A1404" s="91" t="n"/>
      <c r="B1404" s="91" t="n"/>
      <c r="C1404" s="91" t="n"/>
      <c r="D1404" s="91" t="n"/>
      <c r="E1404" s="91" t="n"/>
      <c r="F1404" s="94" t="n"/>
      <c r="G1404" s="94" t="n"/>
      <c r="H1404" s="91" t="n"/>
      <c r="I1404" s="91" t="n"/>
      <c r="J1404" s="91" t="n"/>
      <c r="K1404" s="91" t="n"/>
      <c r="L1404" s="91" t="n"/>
      <c r="M1404" s="95" t="n"/>
      <c r="N1404" s="91" t="n"/>
      <c r="O1404" s="91" t="n"/>
      <c r="P1404" s="91" t="n"/>
    </row>
    <row r="1405" ht="32" customHeight="1">
      <c r="A1405" s="92" t="n"/>
      <c r="B1405" s="92" t="n"/>
      <c r="C1405" s="92" t="n"/>
      <c r="D1405" s="92" t="n"/>
      <c r="E1405" s="92" t="n"/>
      <c r="F1405" s="96" t="n"/>
      <c r="G1405" s="96" t="n"/>
      <c r="H1405" s="92" t="n"/>
      <c r="I1405" s="92" t="n"/>
      <c r="J1405" s="92" t="n"/>
      <c r="K1405" s="92" t="n"/>
      <c r="L1405" s="92" t="n"/>
      <c r="M1405" s="97" t="n"/>
      <c r="N1405" s="92" t="n"/>
      <c r="O1405" s="92" t="n"/>
      <c r="P1405" s="92" t="n"/>
    </row>
    <row r="1406" ht="32" customHeight="1">
      <c r="A1406" s="91" t="n"/>
      <c r="B1406" s="91" t="n"/>
      <c r="C1406" s="91" t="n"/>
      <c r="D1406" s="91" t="n"/>
      <c r="E1406" s="91" t="n"/>
      <c r="F1406" s="94" t="n"/>
      <c r="G1406" s="94" t="n"/>
      <c r="H1406" s="91" t="n"/>
      <c r="I1406" s="91" t="n"/>
      <c r="J1406" s="91" t="n"/>
      <c r="K1406" s="91" t="n"/>
      <c r="L1406" s="91" t="n"/>
      <c r="M1406" s="95" t="n"/>
      <c r="N1406" s="91" t="n"/>
      <c r="O1406" s="91" t="n"/>
      <c r="P1406" s="91" t="n"/>
    </row>
    <row r="1407" ht="32" customHeight="1">
      <c r="A1407" s="92" t="n"/>
      <c r="B1407" s="92" t="n"/>
      <c r="C1407" s="92" t="n"/>
      <c r="D1407" s="92" t="n"/>
      <c r="E1407" s="92" t="n"/>
      <c r="F1407" s="96" t="n"/>
      <c r="G1407" s="96" t="n"/>
      <c r="H1407" s="92" t="n"/>
      <c r="I1407" s="92" t="n"/>
      <c r="J1407" s="92" t="n"/>
      <c r="K1407" s="92" t="n"/>
      <c r="L1407" s="92" t="n"/>
      <c r="M1407" s="97" t="n"/>
      <c r="N1407" s="92" t="n"/>
      <c r="O1407" s="92" t="n"/>
      <c r="P1407" s="92" t="n"/>
    </row>
    <row r="1408" ht="32" customHeight="1">
      <c r="A1408" s="91" t="n"/>
      <c r="B1408" s="91" t="n"/>
      <c r="C1408" s="91" t="n"/>
      <c r="D1408" s="91" t="n"/>
      <c r="E1408" s="91" t="n"/>
      <c r="F1408" s="94" t="n"/>
      <c r="G1408" s="94" t="n"/>
      <c r="H1408" s="91" t="n"/>
      <c r="I1408" s="91" t="n"/>
      <c r="J1408" s="91" t="n"/>
      <c r="K1408" s="91" t="n"/>
      <c r="L1408" s="91" t="n"/>
      <c r="M1408" s="95" t="n"/>
      <c r="N1408" s="91" t="n"/>
      <c r="O1408" s="91" t="n"/>
      <c r="P1408" s="91" t="n"/>
    </row>
    <row r="1409" ht="32" customHeight="1">
      <c r="A1409" s="92" t="n"/>
      <c r="B1409" s="92" t="n"/>
      <c r="C1409" s="92" t="n"/>
      <c r="D1409" s="92" t="n"/>
      <c r="E1409" s="92" t="n"/>
      <c r="F1409" s="96" t="n"/>
      <c r="G1409" s="96" t="n"/>
      <c r="H1409" s="92" t="n"/>
      <c r="I1409" s="92" t="n"/>
      <c r="J1409" s="92" t="n"/>
      <c r="K1409" s="92" t="n"/>
      <c r="L1409" s="92" t="n"/>
      <c r="M1409" s="97" t="n"/>
      <c r="N1409" s="92" t="n"/>
      <c r="O1409" s="92" t="n"/>
      <c r="P1409" s="92" t="n"/>
    </row>
    <row r="1410" ht="32" customHeight="1">
      <c r="A1410" s="91" t="n"/>
      <c r="B1410" s="91" t="n"/>
      <c r="C1410" s="91" t="n"/>
      <c r="D1410" s="91" t="n"/>
      <c r="E1410" s="91" t="n"/>
      <c r="F1410" s="94" t="n"/>
      <c r="G1410" s="94" t="n"/>
      <c r="H1410" s="91" t="n"/>
      <c r="I1410" s="91" t="n"/>
      <c r="J1410" s="91" t="n"/>
      <c r="K1410" s="91" t="n"/>
      <c r="L1410" s="91" t="n"/>
      <c r="M1410" s="95" t="n"/>
      <c r="N1410" s="91" t="n"/>
      <c r="O1410" s="91" t="n"/>
      <c r="P1410" s="91" t="n"/>
    </row>
    <row r="1411" ht="32" customHeight="1">
      <c r="A1411" s="92" t="n"/>
      <c r="B1411" s="92" t="n"/>
      <c r="C1411" s="92" t="n"/>
      <c r="D1411" s="92" t="n"/>
      <c r="E1411" s="92" t="n"/>
      <c r="F1411" s="96" t="n"/>
      <c r="G1411" s="96" t="n"/>
      <c r="H1411" s="92" t="n"/>
      <c r="I1411" s="92" t="n"/>
      <c r="J1411" s="92" t="n"/>
      <c r="K1411" s="92" t="n"/>
      <c r="L1411" s="92" t="n"/>
      <c r="M1411" s="97" t="n"/>
      <c r="N1411" s="92" t="n"/>
      <c r="O1411" s="92" t="n"/>
      <c r="P1411" s="92" t="n"/>
    </row>
    <row r="1412" ht="32" customHeight="1">
      <c r="A1412" s="91" t="n"/>
      <c r="B1412" s="91" t="n"/>
      <c r="C1412" s="91" t="n"/>
      <c r="D1412" s="91" t="n"/>
      <c r="E1412" s="91" t="n"/>
      <c r="F1412" s="94" t="n"/>
      <c r="G1412" s="94" t="n"/>
      <c r="H1412" s="91" t="n"/>
      <c r="I1412" s="91" t="n"/>
      <c r="J1412" s="91" t="n"/>
      <c r="K1412" s="91" t="n"/>
      <c r="L1412" s="91" t="n"/>
      <c r="M1412" s="95" t="n"/>
      <c r="N1412" s="91" t="n"/>
      <c r="O1412" s="91" t="n"/>
      <c r="P1412" s="91" t="n"/>
    </row>
    <row r="1413" ht="32" customHeight="1">
      <c r="A1413" s="92" t="n"/>
      <c r="B1413" s="92" t="n"/>
      <c r="C1413" s="92" t="n"/>
      <c r="D1413" s="92" t="n"/>
      <c r="E1413" s="92" t="n"/>
      <c r="F1413" s="96" t="n"/>
      <c r="G1413" s="96" t="n"/>
      <c r="H1413" s="92" t="n"/>
      <c r="I1413" s="92" t="n"/>
      <c r="J1413" s="92" t="n"/>
      <c r="K1413" s="92" t="n"/>
      <c r="L1413" s="92" t="n"/>
      <c r="M1413" s="97" t="n"/>
      <c r="N1413" s="92" t="n"/>
      <c r="O1413" s="92" t="n"/>
      <c r="P1413" s="92" t="n"/>
    </row>
    <row r="1414" ht="32" customHeight="1">
      <c r="A1414" s="91" t="n"/>
      <c r="B1414" s="91" t="n"/>
      <c r="C1414" s="91" t="n"/>
      <c r="D1414" s="91" t="n"/>
      <c r="E1414" s="91" t="n"/>
      <c r="F1414" s="94" t="n"/>
      <c r="G1414" s="94" t="n"/>
      <c r="H1414" s="91" t="n"/>
      <c r="I1414" s="91" t="n"/>
      <c r="J1414" s="91" t="n"/>
      <c r="K1414" s="91" t="n"/>
      <c r="L1414" s="91" t="n"/>
      <c r="M1414" s="95" t="n"/>
      <c r="N1414" s="91" t="n"/>
      <c r="O1414" s="91" t="n"/>
      <c r="P1414" s="91" t="n"/>
    </row>
    <row r="1415" ht="32" customHeight="1">
      <c r="A1415" s="92" t="n"/>
      <c r="B1415" s="92" t="n"/>
      <c r="C1415" s="92" t="n"/>
      <c r="D1415" s="92" t="n"/>
      <c r="E1415" s="92" t="n"/>
      <c r="F1415" s="96" t="n"/>
      <c r="G1415" s="96" t="n"/>
      <c r="H1415" s="92" t="n"/>
      <c r="I1415" s="92" t="n"/>
      <c r="J1415" s="92" t="n"/>
      <c r="K1415" s="92" t="n"/>
      <c r="L1415" s="92" t="n"/>
      <c r="M1415" s="97" t="n"/>
      <c r="N1415" s="92" t="n"/>
      <c r="O1415" s="92" t="n"/>
      <c r="P1415" s="92" t="n"/>
    </row>
    <row r="1416" ht="32" customHeight="1">
      <c r="A1416" s="91" t="n"/>
      <c r="B1416" s="91" t="n"/>
      <c r="C1416" s="91" t="n"/>
      <c r="D1416" s="91" t="n"/>
      <c r="E1416" s="91" t="n"/>
      <c r="F1416" s="94" t="n"/>
      <c r="G1416" s="94" t="n"/>
      <c r="H1416" s="91" t="n"/>
      <c r="I1416" s="91" t="n"/>
      <c r="J1416" s="91" t="n"/>
      <c r="K1416" s="91" t="n"/>
      <c r="L1416" s="91" t="n"/>
      <c r="M1416" s="95" t="n"/>
      <c r="N1416" s="91" t="n"/>
      <c r="O1416" s="91" t="n"/>
      <c r="P1416" s="91" t="n"/>
    </row>
    <row r="1417" ht="32" customHeight="1">
      <c r="A1417" s="92" t="n"/>
      <c r="B1417" s="92" t="n"/>
      <c r="C1417" s="92" t="n"/>
      <c r="D1417" s="92" t="n"/>
      <c r="E1417" s="92" t="n"/>
      <c r="F1417" s="96" t="n"/>
      <c r="G1417" s="96" t="n"/>
      <c r="H1417" s="92" t="n"/>
      <c r="I1417" s="92" t="n"/>
      <c r="J1417" s="92" t="n"/>
      <c r="K1417" s="92" t="n"/>
      <c r="L1417" s="92" t="n"/>
      <c r="M1417" s="97" t="n"/>
      <c r="N1417" s="92" t="n"/>
      <c r="O1417" s="92" t="n"/>
      <c r="P1417" s="92" t="n"/>
    </row>
    <row r="1418" ht="32" customHeight="1">
      <c r="A1418" s="91" t="n"/>
      <c r="B1418" s="91" t="n"/>
      <c r="C1418" s="91" t="n"/>
      <c r="D1418" s="91" t="n"/>
      <c r="E1418" s="91" t="n"/>
      <c r="F1418" s="94" t="n"/>
      <c r="G1418" s="94" t="n"/>
      <c r="H1418" s="91" t="n"/>
      <c r="I1418" s="91" t="n"/>
      <c r="J1418" s="91" t="n"/>
      <c r="K1418" s="91" t="n"/>
      <c r="L1418" s="91" t="n"/>
      <c r="M1418" s="95" t="n"/>
      <c r="N1418" s="91" t="n"/>
      <c r="O1418" s="91" t="n"/>
      <c r="P1418" s="91" t="n"/>
    </row>
    <row r="1419" ht="32" customHeight="1">
      <c r="A1419" s="92" t="n"/>
      <c r="B1419" s="92" t="n"/>
      <c r="C1419" s="92" t="n"/>
      <c r="D1419" s="92" t="n"/>
      <c r="E1419" s="92" t="n"/>
      <c r="F1419" s="96" t="n"/>
      <c r="G1419" s="96" t="n"/>
      <c r="H1419" s="92" t="n"/>
      <c r="I1419" s="92" t="n"/>
      <c r="J1419" s="92" t="n"/>
      <c r="K1419" s="92" t="n"/>
      <c r="L1419" s="92" t="n"/>
      <c r="M1419" s="97" t="n"/>
      <c r="N1419" s="92" t="n"/>
      <c r="O1419" s="92" t="n"/>
      <c r="P1419" s="92" t="n"/>
    </row>
    <row r="1420" ht="32" customHeight="1">
      <c r="A1420" s="91" t="n"/>
      <c r="B1420" s="91" t="n"/>
      <c r="C1420" s="91" t="n"/>
      <c r="D1420" s="91" t="n"/>
      <c r="E1420" s="91" t="n"/>
      <c r="F1420" s="94" t="n"/>
      <c r="G1420" s="94" t="n"/>
      <c r="H1420" s="91" t="n"/>
      <c r="I1420" s="91" t="n"/>
      <c r="J1420" s="91" t="n"/>
      <c r="K1420" s="91" t="n"/>
      <c r="L1420" s="91" t="n"/>
      <c r="M1420" s="95" t="n"/>
      <c r="N1420" s="91" t="n"/>
      <c r="O1420" s="91" t="n"/>
      <c r="P1420" s="91" t="n"/>
    </row>
    <row r="1421" ht="32" customHeight="1">
      <c r="A1421" s="92" t="n"/>
      <c r="B1421" s="92" t="n"/>
      <c r="C1421" s="92" t="n"/>
      <c r="D1421" s="92" t="n"/>
      <c r="E1421" s="92" t="n"/>
      <c r="F1421" s="96" t="n"/>
      <c r="G1421" s="96" t="n"/>
      <c r="H1421" s="92" t="n"/>
      <c r="I1421" s="92" t="n"/>
      <c r="J1421" s="92" t="n"/>
      <c r="K1421" s="92" t="n"/>
      <c r="L1421" s="92" t="n"/>
      <c r="M1421" s="97" t="n"/>
      <c r="N1421" s="92" t="n"/>
      <c r="O1421" s="92" t="n"/>
      <c r="P1421" s="92" t="n"/>
    </row>
    <row r="1422" ht="32" customHeight="1">
      <c r="A1422" s="91" t="n"/>
      <c r="B1422" s="91" t="n"/>
      <c r="C1422" s="91" t="n"/>
      <c r="D1422" s="91" t="n"/>
      <c r="E1422" s="91" t="n"/>
      <c r="F1422" s="94" t="n"/>
      <c r="G1422" s="94" t="n"/>
      <c r="H1422" s="91" t="n"/>
      <c r="I1422" s="91" t="n"/>
      <c r="J1422" s="91" t="n"/>
      <c r="K1422" s="91" t="n"/>
      <c r="L1422" s="91" t="n"/>
      <c r="M1422" s="95" t="n"/>
      <c r="N1422" s="91" t="n"/>
      <c r="O1422" s="91" t="n"/>
      <c r="P1422" s="91" t="n"/>
    </row>
    <row r="1423" ht="32" customHeight="1">
      <c r="A1423" s="92" t="n"/>
      <c r="B1423" s="92" t="n"/>
      <c r="C1423" s="92" t="n"/>
      <c r="D1423" s="92" t="n"/>
      <c r="E1423" s="92" t="n"/>
      <c r="F1423" s="96" t="n"/>
      <c r="G1423" s="96" t="n"/>
      <c r="H1423" s="92" t="n"/>
      <c r="I1423" s="92" t="n"/>
      <c r="J1423" s="92" t="n"/>
      <c r="K1423" s="92" t="n"/>
      <c r="L1423" s="92" t="n"/>
      <c r="M1423" s="97" t="n"/>
      <c r="N1423" s="92" t="n"/>
      <c r="O1423" s="92" t="n"/>
      <c r="P1423" s="92" t="n"/>
    </row>
    <row r="1424" ht="32" customHeight="1">
      <c r="A1424" s="91" t="n"/>
      <c r="B1424" s="91" t="n"/>
      <c r="C1424" s="91" t="n"/>
      <c r="D1424" s="91" t="n"/>
      <c r="E1424" s="91" t="n"/>
      <c r="F1424" s="94" t="n"/>
      <c r="G1424" s="94" t="n"/>
      <c r="H1424" s="91" t="n"/>
      <c r="I1424" s="91" t="n"/>
      <c r="J1424" s="91" t="n"/>
      <c r="K1424" s="91" t="n"/>
      <c r="L1424" s="91" t="n"/>
      <c r="M1424" s="95" t="n"/>
      <c r="N1424" s="91" t="n"/>
      <c r="O1424" s="91" t="n"/>
      <c r="P1424" s="91" t="n"/>
    </row>
    <row r="1425" ht="32" customHeight="1">
      <c r="A1425" s="92" t="n"/>
      <c r="B1425" s="92" t="n"/>
      <c r="C1425" s="92" t="n"/>
      <c r="D1425" s="92" t="n"/>
      <c r="E1425" s="92" t="n"/>
      <c r="F1425" s="96" t="n"/>
      <c r="G1425" s="96" t="n"/>
      <c r="H1425" s="92" t="n"/>
      <c r="I1425" s="92" t="n"/>
      <c r="J1425" s="92" t="n"/>
      <c r="K1425" s="92" t="n"/>
      <c r="L1425" s="92" t="n"/>
      <c r="M1425" s="97" t="n"/>
      <c r="N1425" s="92" t="n"/>
      <c r="O1425" s="92" t="n"/>
      <c r="P1425" s="92" t="n"/>
    </row>
    <row r="1426" ht="32" customHeight="1">
      <c r="A1426" s="91" t="n"/>
      <c r="B1426" s="91" t="n"/>
      <c r="C1426" s="91" t="n"/>
      <c r="D1426" s="91" t="n"/>
      <c r="E1426" s="91" t="n"/>
      <c r="F1426" s="94" t="n"/>
      <c r="G1426" s="94" t="n"/>
      <c r="H1426" s="91" t="n"/>
      <c r="I1426" s="91" t="n"/>
      <c r="J1426" s="91" t="n"/>
      <c r="K1426" s="91" t="n"/>
      <c r="L1426" s="91" t="n"/>
      <c r="M1426" s="95" t="n"/>
      <c r="N1426" s="91" t="n"/>
      <c r="O1426" s="91" t="n"/>
      <c r="P1426" s="91" t="n"/>
    </row>
    <row r="1427" ht="32" customHeight="1">
      <c r="A1427" s="92" t="n"/>
      <c r="B1427" s="92" t="n"/>
      <c r="C1427" s="92" t="n"/>
      <c r="D1427" s="92" t="n"/>
      <c r="E1427" s="92" t="n"/>
      <c r="F1427" s="96" t="n"/>
      <c r="G1427" s="96" t="n"/>
      <c r="H1427" s="92" t="n"/>
      <c r="I1427" s="92" t="n"/>
      <c r="J1427" s="92" t="n"/>
      <c r="K1427" s="92" t="n"/>
      <c r="L1427" s="92" t="n"/>
      <c r="M1427" s="97" t="n"/>
      <c r="N1427" s="92" t="n"/>
      <c r="O1427" s="92" t="n"/>
      <c r="P1427" s="92" t="n"/>
    </row>
    <row r="1428" ht="32" customHeight="1">
      <c r="A1428" s="91" t="n"/>
      <c r="B1428" s="91" t="n"/>
      <c r="C1428" s="91" t="n"/>
      <c r="D1428" s="91" t="n"/>
      <c r="E1428" s="91" t="n"/>
      <c r="F1428" s="94" t="n"/>
      <c r="G1428" s="94" t="n"/>
      <c r="H1428" s="91" t="n"/>
      <c r="I1428" s="91" t="n"/>
      <c r="J1428" s="91" t="n"/>
      <c r="K1428" s="91" t="n"/>
      <c r="L1428" s="91" t="n"/>
      <c r="M1428" s="95" t="n"/>
      <c r="N1428" s="91" t="n"/>
      <c r="O1428" s="91" t="n"/>
      <c r="P1428" s="91" t="n"/>
    </row>
    <row r="1429" ht="32" customHeight="1">
      <c r="A1429" s="92" t="n"/>
      <c r="B1429" s="92" t="n"/>
      <c r="C1429" s="92" t="n"/>
      <c r="D1429" s="92" t="n"/>
      <c r="E1429" s="92" t="n"/>
      <c r="F1429" s="96" t="n"/>
      <c r="G1429" s="96" t="n"/>
      <c r="H1429" s="92" t="n"/>
      <c r="I1429" s="92" t="n"/>
      <c r="J1429" s="92" t="n"/>
      <c r="K1429" s="92" t="n"/>
      <c r="L1429" s="92" t="n"/>
      <c r="M1429" s="97" t="n"/>
      <c r="N1429" s="92" t="n"/>
      <c r="O1429" s="92" t="n"/>
      <c r="P1429" s="92" t="n"/>
    </row>
    <row r="1430" ht="32" customHeight="1">
      <c r="A1430" s="91" t="n"/>
      <c r="B1430" s="91" t="n"/>
      <c r="C1430" s="91" t="n"/>
      <c r="D1430" s="91" t="n"/>
      <c r="E1430" s="91" t="n"/>
      <c r="F1430" s="94" t="n"/>
      <c r="G1430" s="94" t="n"/>
      <c r="H1430" s="91" t="n"/>
      <c r="I1430" s="91" t="n"/>
      <c r="J1430" s="91" t="n"/>
      <c r="K1430" s="91" t="n"/>
      <c r="L1430" s="91" t="n"/>
      <c r="M1430" s="95" t="n"/>
      <c r="N1430" s="91" t="n"/>
      <c r="O1430" s="91" t="n"/>
      <c r="P1430" s="91" t="n"/>
    </row>
    <row r="1431" ht="32" customHeight="1">
      <c r="A1431" s="92" t="n"/>
      <c r="B1431" s="92" t="n"/>
      <c r="C1431" s="92" t="n"/>
      <c r="D1431" s="92" t="n"/>
      <c r="E1431" s="92" t="n"/>
      <c r="F1431" s="96" t="n"/>
      <c r="G1431" s="96" t="n"/>
      <c r="H1431" s="92" t="n"/>
      <c r="I1431" s="92" t="n"/>
      <c r="J1431" s="92" t="n"/>
      <c r="K1431" s="92" t="n"/>
      <c r="L1431" s="92" t="n"/>
      <c r="M1431" s="97" t="n"/>
      <c r="N1431" s="92" t="n"/>
      <c r="O1431" s="92" t="n"/>
      <c r="P1431" s="92" t="n"/>
    </row>
    <row r="1432" ht="32" customHeight="1">
      <c r="A1432" s="91" t="n"/>
      <c r="B1432" s="91" t="n"/>
      <c r="C1432" s="91" t="n"/>
      <c r="D1432" s="91" t="n"/>
      <c r="E1432" s="91" t="n"/>
      <c r="F1432" s="94" t="n"/>
      <c r="G1432" s="94" t="n"/>
      <c r="H1432" s="91" t="n"/>
      <c r="I1432" s="91" t="n"/>
      <c r="J1432" s="91" t="n"/>
      <c r="K1432" s="91" t="n"/>
      <c r="L1432" s="91" t="n"/>
      <c r="M1432" s="95" t="n"/>
      <c r="N1432" s="91" t="n"/>
      <c r="O1432" s="91" t="n"/>
      <c r="P1432" s="91" t="n"/>
    </row>
    <row r="1433" ht="32" customHeight="1">
      <c r="A1433" s="92" t="n"/>
      <c r="B1433" s="92" t="n"/>
      <c r="C1433" s="92" t="n"/>
      <c r="D1433" s="92" t="n"/>
      <c r="E1433" s="92" t="n"/>
      <c r="F1433" s="96" t="n"/>
      <c r="G1433" s="96" t="n"/>
      <c r="H1433" s="92" t="n"/>
      <c r="I1433" s="92" t="n"/>
      <c r="J1433" s="92" t="n"/>
      <c r="K1433" s="92" t="n"/>
      <c r="L1433" s="92" t="n"/>
      <c r="M1433" s="97" t="n"/>
      <c r="N1433" s="92" t="n"/>
      <c r="O1433" s="92" t="n"/>
      <c r="P1433" s="92" t="n"/>
    </row>
    <row r="1434" ht="32" customHeight="1">
      <c r="A1434" s="91" t="n"/>
      <c r="B1434" s="91" t="n"/>
      <c r="C1434" s="91" t="n"/>
      <c r="D1434" s="91" t="n"/>
      <c r="E1434" s="91" t="n"/>
      <c r="F1434" s="94" t="n"/>
      <c r="G1434" s="94" t="n"/>
      <c r="H1434" s="91" t="n"/>
      <c r="I1434" s="91" t="n"/>
      <c r="J1434" s="91" t="n"/>
      <c r="K1434" s="91" t="n"/>
      <c r="L1434" s="91" t="n"/>
      <c r="M1434" s="95" t="n"/>
      <c r="N1434" s="91" t="n"/>
      <c r="O1434" s="91" t="n"/>
      <c r="P1434" s="91" t="n"/>
    </row>
    <row r="1435" ht="32" customHeight="1">
      <c r="A1435" s="92" t="n"/>
      <c r="B1435" s="92" t="n"/>
      <c r="C1435" s="92" t="n"/>
      <c r="D1435" s="92" t="n"/>
      <c r="E1435" s="92" t="n"/>
      <c r="F1435" s="96" t="n"/>
      <c r="G1435" s="96" t="n"/>
      <c r="H1435" s="92" t="n"/>
      <c r="I1435" s="92" t="n"/>
      <c r="J1435" s="92" t="n"/>
      <c r="K1435" s="92" t="n"/>
      <c r="L1435" s="92" t="n"/>
      <c r="M1435" s="97" t="n"/>
      <c r="N1435" s="92" t="n"/>
      <c r="O1435" s="92" t="n"/>
      <c r="P1435" s="92" t="n"/>
    </row>
    <row r="1436" ht="32" customHeight="1">
      <c r="A1436" s="91" t="n"/>
      <c r="B1436" s="91" t="n"/>
      <c r="C1436" s="91" t="n"/>
      <c r="D1436" s="91" t="n"/>
      <c r="E1436" s="91" t="n"/>
      <c r="F1436" s="94" t="n"/>
      <c r="G1436" s="94" t="n"/>
      <c r="H1436" s="91" t="n"/>
      <c r="I1436" s="91" t="n"/>
      <c r="J1436" s="91" t="n"/>
      <c r="K1436" s="91" t="n"/>
      <c r="L1436" s="91" t="n"/>
      <c r="M1436" s="95" t="n"/>
      <c r="N1436" s="91" t="n"/>
      <c r="O1436" s="91" t="n"/>
      <c r="P1436" s="91" t="n"/>
    </row>
    <row r="1437" ht="32" customHeight="1">
      <c r="A1437" s="92" t="n"/>
      <c r="B1437" s="92" t="n"/>
      <c r="C1437" s="92" t="n"/>
      <c r="D1437" s="92" t="n"/>
      <c r="E1437" s="92" t="n"/>
      <c r="F1437" s="96" t="n"/>
      <c r="G1437" s="96" t="n"/>
      <c r="H1437" s="92" t="n"/>
      <c r="I1437" s="92" t="n"/>
      <c r="J1437" s="92" t="n"/>
      <c r="K1437" s="92" t="n"/>
      <c r="L1437" s="92" t="n"/>
      <c r="M1437" s="97" t="n"/>
      <c r="N1437" s="92" t="n"/>
      <c r="O1437" s="92" t="n"/>
      <c r="P1437" s="92" t="n"/>
    </row>
    <row r="1438" ht="32" customHeight="1">
      <c r="A1438" s="91" t="n"/>
      <c r="B1438" s="91" t="n"/>
      <c r="C1438" s="91" t="n"/>
      <c r="D1438" s="91" t="n"/>
      <c r="E1438" s="91" t="n"/>
      <c r="F1438" s="94" t="n"/>
      <c r="G1438" s="94" t="n"/>
      <c r="H1438" s="91" t="n"/>
      <c r="I1438" s="91" t="n"/>
      <c r="J1438" s="91" t="n"/>
      <c r="K1438" s="91" t="n"/>
      <c r="L1438" s="91" t="n"/>
      <c r="M1438" s="95" t="n"/>
      <c r="N1438" s="91" t="n"/>
      <c r="O1438" s="91" t="n"/>
      <c r="P1438" s="91" t="n"/>
    </row>
    <row r="1439" ht="32" customHeight="1">
      <c r="A1439" s="92" t="n"/>
      <c r="B1439" s="92" t="n"/>
      <c r="C1439" s="92" t="n"/>
      <c r="D1439" s="92" t="n"/>
      <c r="E1439" s="92" t="n"/>
      <c r="F1439" s="96" t="n"/>
      <c r="G1439" s="96" t="n"/>
      <c r="H1439" s="92" t="n"/>
      <c r="I1439" s="92" t="n"/>
      <c r="J1439" s="92" t="n"/>
      <c r="K1439" s="92" t="n"/>
      <c r="L1439" s="92" t="n"/>
      <c r="M1439" s="97" t="n"/>
      <c r="N1439" s="92" t="n"/>
      <c r="O1439" s="92" t="n"/>
      <c r="P1439" s="92" t="n"/>
    </row>
    <row r="1440" ht="32" customHeight="1">
      <c r="A1440" s="91" t="n"/>
      <c r="B1440" s="91" t="n"/>
      <c r="C1440" s="91" t="n"/>
      <c r="D1440" s="91" t="n"/>
      <c r="E1440" s="91" t="n"/>
      <c r="F1440" s="94" t="n"/>
      <c r="G1440" s="94" t="n"/>
      <c r="H1440" s="91" t="n"/>
      <c r="I1440" s="91" t="n"/>
      <c r="J1440" s="91" t="n"/>
      <c r="K1440" s="91" t="n"/>
      <c r="L1440" s="91" t="n"/>
      <c r="M1440" s="95" t="n"/>
      <c r="N1440" s="91" t="n"/>
      <c r="O1440" s="91" t="n"/>
      <c r="P1440" s="91" t="n"/>
    </row>
    <row r="1441" ht="32" customHeight="1">
      <c r="A1441" s="92" t="n"/>
      <c r="B1441" s="92" t="n"/>
      <c r="C1441" s="92" t="n"/>
      <c r="D1441" s="92" t="n"/>
      <c r="E1441" s="92" t="n"/>
      <c r="F1441" s="96" t="n"/>
      <c r="G1441" s="96" t="n"/>
      <c r="H1441" s="92" t="n"/>
      <c r="I1441" s="92" t="n"/>
      <c r="J1441" s="92" t="n"/>
      <c r="K1441" s="92" t="n"/>
      <c r="L1441" s="92" t="n"/>
      <c r="M1441" s="97" t="n"/>
      <c r="N1441" s="92" t="n"/>
      <c r="O1441" s="92" t="n"/>
      <c r="P1441" s="92" t="n"/>
    </row>
    <row r="1442" ht="32" customHeight="1">
      <c r="A1442" s="91" t="n"/>
      <c r="B1442" s="91" t="n"/>
      <c r="C1442" s="91" t="n"/>
      <c r="D1442" s="91" t="n"/>
      <c r="E1442" s="91" t="n"/>
      <c r="F1442" s="94" t="n"/>
      <c r="G1442" s="94" t="n"/>
      <c r="H1442" s="91" t="n"/>
      <c r="I1442" s="91" t="n"/>
      <c r="J1442" s="91" t="n"/>
      <c r="K1442" s="91" t="n"/>
      <c r="L1442" s="91" t="n"/>
      <c r="M1442" s="95" t="n"/>
      <c r="N1442" s="91" t="n"/>
      <c r="O1442" s="91" t="n"/>
      <c r="P1442" s="91" t="n"/>
    </row>
    <row r="1443" ht="32" customHeight="1">
      <c r="A1443" s="92" t="n"/>
      <c r="B1443" s="92" t="n"/>
      <c r="C1443" s="92" t="n"/>
      <c r="D1443" s="92" t="n"/>
      <c r="E1443" s="92" t="n"/>
      <c r="F1443" s="96" t="n"/>
      <c r="G1443" s="96" t="n"/>
      <c r="H1443" s="92" t="n"/>
      <c r="I1443" s="92" t="n"/>
      <c r="J1443" s="92" t="n"/>
      <c r="K1443" s="92" t="n"/>
      <c r="L1443" s="92" t="n"/>
      <c r="M1443" s="97" t="n"/>
      <c r="N1443" s="92" t="n"/>
      <c r="O1443" s="92" t="n"/>
      <c r="P1443" s="92" t="n"/>
    </row>
    <row r="1444" ht="32" customHeight="1">
      <c r="A1444" s="91" t="n"/>
      <c r="B1444" s="91" t="n"/>
      <c r="C1444" s="91" t="n"/>
      <c r="D1444" s="91" t="n"/>
      <c r="E1444" s="91" t="n"/>
      <c r="F1444" s="94" t="n"/>
      <c r="G1444" s="94" t="n"/>
      <c r="H1444" s="91" t="n"/>
      <c r="I1444" s="91" t="n"/>
      <c r="J1444" s="91" t="n"/>
      <c r="K1444" s="91" t="n"/>
      <c r="L1444" s="91" t="n"/>
      <c r="M1444" s="95" t="n"/>
      <c r="N1444" s="91" t="n"/>
      <c r="O1444" s="91" t="n"/>
      <c r="P1444" s="91" t="n"/>
    </row>
    <row r="1445" ht="32" customHeight="1">
      <c r="A1445" s="92" t="n"/>
      <c r="B1445" s="92" t="n"/>
      <c r="C1445" s="92" t="n"/>
      <c r="D1445" s="92" t="n"/>
      <c r="E1445" s="92" t="n"/>
      <c r="F1445" s="96" t="n"/>
      <c r="G1445" s="96" t="n"/>
      <c r="H1445" s="92" t="n"/>
      <c r="I1445" s="92" t="n"/>
      <c r="J1445" s="92" t="n"/>
      <c r="K1445" s="92" t="n"/>
      <c r="L1445" s="92" t="n"/>
      <c r="M1445" s="97" t="n"/>
      <c r="N1445" s="92" t="n"/>
      <c r="O1445" s="92" t="n"/>
      <c r="P1445" s="92" t="n"/>
    </row>
    <row r="1446" ht="32" customHeight="1">
      <c r="A1446" s="91" t="n"/>
      <c r="B1446" s="91" t="n"/>
      <c r="C1446" s="91" t="n"/>
      <c r="D1446" s="91" t="n"/>
      <c r="E1446" s="91" t="n"/>
      <c r="F1446" s="94" t="n"/>
      <c r="G1446" s="94" t="n"/>
      <c r="H1446" s="91" t="n"/>
      <c r="I1446" s="91" t="n"/>
      <c r="J1446" s="91" t="n"/>
      <c r="K1446" s="91" t="n"/>
      <c r="L1446" s="91" t="n"/>
      <c r="M1446" s="95" t="n"/>
      <c r="N1446" s="91" t="n"/>
      <c r="O1446" s="91" t="n"/>
      <c r="P1446" s="91" t="n"/>
    </row>
    <row r="1447" ht="32" customHeight="1">
      <c r="A1447" s="92" t="n"/>
      <c r="B1447" s="92" t="n"/>
      <c r="C1447" s="92" t="n"/>
      <c r="D1447" s="92" t="n"/>
      <c r="E1447" s="92" t="n"/>
      <c r="F1447" s="96" t="n"/>
      <c r="G1447" s="96" t="n"/>
      <c r="H1447" s="92" t="n"/>
      <c r="I1447" s="92" t="n"/>
      <c r="J1447" s="92" t="n"/>
      <c r="K1447" s="92" t="n"/>
      <c r="L1447" s="92" t="n"/>
      <c r="M1447" s="97" t="n"/>
      <c r="N1447" s="92" t="n"/>
      <c r="O1447" s="92" t="n"/>
      <c r="P1447" s="92" t="n"/>
    </row>
    <row r="1448" ht="32" customHeight="1">
      <c r="A1448" s="91" t="n"/>
      <c r="B1448" s="91" t="n"/>
      <c r="C1448" s="91" t="n"/>
      <c r="D1448" s="91" t="n"/>
      <c r="E1448" s="91" t="n"/>
      <c r="F1448" s="94" t="n"/>
      <c r="G1448" s="94" t="n"/>
      <c r="H1448" s="91" t="n"/>
      <c r="I1448" s="91" t="n"/>
      <c r="J1448" s="91" t="n"/>
      <c r="K1448" s="91" t="n"/>
      <c r="L1448" s="91" t="n"/>
      <c r="M1448" s="95" t="n"/>
      <c r="N1448" s="91" t="n"/>
      <c r="O1448" s="91" t="n"/>
      <c r="P1448" s="91" t="n"/>
    </row>
    <row r="1449" ht="32" customHeight="1">
      <c r="A1449" s="92" t="n"/>
      <c r="B1449" s="92" t="n"/>
      <c r="C1449" s="92" t="n"/>
      <c r="D1449" s="92" t="n"/>
      <c r="E1449" s="92" t="n"/>
      <c r="F1449" s="96" t="n"/>
      <c r="G1449" s="96" t="n"/>
      <c r="H1449" s="92" t="n"/>
      <c r="I1449" s="92" t="n"/>
      <c r="J1449" s="92" t="n"/>
      <c r="K1449" s="92" t="n"/>
      <c r="L1449" s="92" t="n"/>
      <c r="M1449" s="97" t="n"/>
      <c r="N1449" s="92" t="n"/>
      <c r="O1449" s="92" t="n"/>
      <c r="P1449" s="92" t="n"/>
    </row>
    <row r="1450" ht="32" customHeight="1">
      <c r="A1450" s="91" t="n"/>
      <c r="B1450" s="91" t="n"/>
      <c r="C1450" s="91" t="n"/>
      <c r="D1450" s="91" t="n"/>
      <c r="E1450" s="91" t="n"/>
      <c r="F1450" s="94" t="n"/>
      <c r="G1450" s="94" t="n"/>
      <c r="H1450" s="91" t="n"/>
      <c r="I1450" s="91" t="n"/>
      <c r="J1450" s="91" t="n"/>
      <c r="K1450" s="91" t="n"/>
      <c r="L1450" s="91" t="n"/>
      <c r="M1450" s="95" t="n"/>
      <c r="N1450" s="91" t="n"/>
      <c r="O1450" s="91" t="n"/>
      <c r="P1450" s="91" t="n"/>
    </row>
    <row r="1451" ht="32" customHeight="1">
      <c r="A1451" s="92" t="n"/>
      <c r="B1451" s="92" t="n"/>
      <c r="C1451" s="92" t="n"/>
      <c r="D1451" s="92" t="n"/>
      <c r="E1451" s="92" t="n"/>
      <c r="F1451" s="96" t="n"/>
      <c r="G1451" s="96" t="n"/>
      <c r="H1451" s="92" t="n"/>
      <c r="I1451" s="92" t="n"/>
      <c r="J1451" s="92" t="n"/>
      <c r="K1451" s="92" t="n"/>
      <c r="L1451" s="92" t="n"/>
      <c r="M1451" s="97" t="n"/>
      <c r="N1451" s="92" t="n"/>
      <c r="O1451" s="92" t="n"/>
      <c r="P1451" s="92" t="n"/>
    </row>
    <row r="1452" ht="32" customHeight="1">
      <c r="A1452" s="91" t="n"/>
      <c r="B1452" s="91" t="n"/>
      <c r="C1452" s="91" t="n"/>
      <c r="D1452" s="91" t="n"/>
      <c r="E1452" s="91" t="n"/>
      <c r="F1452" s="94" t="n"/>
      <c r="G1452" s="94" t="n"/>
      <c r="H1452" s="91" t="n"/>
      <c r="I1452" s="91" t="n"/>
      <c r="J1452" s="91" t="n"/>
      <c r="K1452" s="91" t="n"/>
      <c r="L1452" s="91" t="n"/>
      <c r="M1452" s="95" t="n"/>
      <c r="N1452" s="91" t="n"/>
      <c r="O1452" s="91" t="n"/>
      <c r="P1452" s="91" t="n"/>
    </row>
    <row r="1453" ht="32" customHeight="1">
      <c r="A1453" s="92" t="n"/>
      <c r="B1453" s="92" t="n"/>
      <c r="C1453" s="92" t="n"/>
      <c r="D1453" s="92" t="n"/>
      <c r="E1453" s="92" t="n"/>
      <c r="F1453" s="96" t="n"/>
      <c r="G1453" s="96" t="n"/>
      <c r="H1453" s="92" t="n"/>
      <c r="I1453" s="92" t="n"/>
      <c r="J1453" s="92" t="n"/>
      <c r="K1453" s="92" t="n"/>
      <c r="L1453" s="92" t="n"/>
      <c r="M1453" s="97" t="n"/>
      <c r="N1453" s="92" t="n"/>
      <c r="O1453" s="92" t="n"/>
      <c r="P1453" s="92" t="n"/>
    </row>
    <row r="1454" ht="32" customHeight="1">
      <c r="A1454" s="91" t="n"/>
      <c r="B1454" s="91" t="n"/>
      <c r="C1454" s="91" t="n"/>
      <c r="D1454" s="91" t="n"/>
      <c r="E1454" s="91" t="n"/>
      <c r="F1454" s="94" t="n"/>
      <c r="G1454" s="94" t="n"/>
      <c r="H1454" s="91" t="n"/>
      <c r="I1454" s="91" t="n"/>
      <c r="J1454" s="91" t="n"/>
      <c r="K1454" s="91" t="n"/>
      <c r="L1454" s="91" t="n"/>
      <c r="M1454" s="95" t="n"/>
      <c r="N1454" s="91" t="n"/>
      <c r="O1454" s="91" t="n"/>
      <c r="P1454" s="91" t="n"/>
    </row>
    <row r="1455" ht="32" customHeight="1">
      <c r="A1455" s="92" t="n"/>
      <c r="B1455" s="92" t="n"/>
      <c r="C1455" s="92" t="n"/>
      <c r="D1455" s="92" t="n"/>
      <c r="E1455" s="92" t="n"/>
      <c r="F1455" s="96" t="n"/>
      <c r="G1455" s="96" t="n"/>
      <c r="H1455" s="92" t="n"/>
      <c r="I1455" s="92" t="n"/>
      <c r="J1455" s="92" t="n"/>
      <c r="K1455" s="92" t="n"/>
      <c r="L1455" s="92" t="n"/>
      <c r="M1455" s="97" t="n"/>
      <c r="N1455" s="92" t="n"/>
      <c r="O1455" s="92" t="n"/>
      <c r="P1455" s="92" t="n"/>
    </row>
    <row r="1456" ht="32" customHeight="1">
      <c r="A1456" s="91" t="n"/>
      <c r="B1456" s="91" t="n"/>
      <c r="C1456" s="91" t="n"/>
      <c r="D1456" s="91" t="n"/>
      <c r="E1456" s="91" t="n"/>
      <c r="F1456" s="94" t="n"/>
      <c r="G1456" s="94" t="n"/>
      <c r="H1456" s="91" t="n"/>
      <c r="I1456" s="91" t="n"/>
      <c r="J1456" s="91" t="n"/>
      <c r="K1456" s="91" t="n"/>
      <c r="L1456" s="91" t="n"/>
      <c r="M1456" s="95" t="n"/>
      <c r="N1456" s="91" t="n"/>
      <c r="O1456" s="91" t="n"/>
      <c r="P1456" s="91" t="n"/>
    </row>
    <row r="1457" ht="32" customHeight="1">
      <c r="A1457" s="92" t="n"/>
      <c r="B1457" s="92" t="n"/>
      <c r="C1457" s="92" t="n"/>
      <c r="D1457" s="92" t="n"/>
      <c r="E1457" s="92" t="n"/>
      <c r="F1457" s="96" t="n"/>
      <c r="G1457" s="96" t="n"/>
      <c r="H1457" s="92" t="n"/>
      <c r="I1457" s="92" t="n"/>
      <c r="J1457" s="92" t="n"/>
      <c r="K1457" s="92" t="n"/>
      <c r="L1457" s="92" t="n"/>
      <c r="M1457" s="97" t="n"/>
      <c r="N1457" s="92" t="n"/>
      <c r="O1457" s="92" t="n"/>
      <c r="P1457" s="92" t="n"/>
    </row>
    <row r="1458" ht="32" customHeight="1">
      <c r="A1458" s="91" t="n"/>
      <c r="B1458" s="91" t="n"/>
      <c r="C1458" s="91" t="n"/>
      <c r="D1458" s="91" t="n"/>
      <c r="E1458" s="91" t="n"/>
      <c r="F1458" s="94" t="n"/>
      <c r="G1458" s="94" t="n"/>
      <c r="H1458" s="91" t="n"/>
      <c r="I1458" s="91" t="n"/>
      <c r="J1458" s="91" t="n"/>
      <c r="K1458" s="91" t="n"/>
      <c r="L1458" s="91" t="n"/>
      <c r="M1458" s="95" t="n"/>
      <c r="N1458" s="91" t="n"/>
      <c r="O1458" s="91" t="n"/>
      <c r="P1458" s="91" t="n"/>
    </row>
    <row r="1459" ht="32" customHeight="1">
      <c r="A1459" s="92" t="n"/>
      <c r="B1459" s="92" t="n"/>
      <c r="C1459" s="92" t="n"/>
      <c r="D1459" s="92" t="n"/>
      <c r="E1459" s="92" t="n"/>
      <c r="F1459" s="96" t="n"/>
      <c r="G1459" s="96" t="n"/>
      <c r="H1459" s="92" t="n"/>
      <c r="I1459" s="92" t="n"/>
      <c r="J1459" s="92" t="n"/>
      <c r="K1459" s="92" t="n"/>
      <c r="L1459" s="92" t="n"/>
      <c r="M1459" s="97" t="n"/>
      <c r="N1459" s="92" t="n"/>
      <c r="O1459" s="92" t="n"/>
      <c r="P1459" s="92" t="n"/>
    </row>
    <row r="1460" ht="32" customHeight="1">
      <c r="A1460" s="91" t="n"/>
      <c r="B1460" s="91" t="n"/>
      <c r="C1460" s="91" t="n"/>
      <c r="D1460" s="91" t="n"/>
      <c r="E1460" s="91" t="n"/>
      <c r="F1460" s="94" t="n"/>
      <c r="G1460" s="94" t="n"/>
      <c r="H1460" s="91" t="n"/>
      <c r="I1460" s="91" t="n"/>
      <c r="J1460" s="91" t="n"/>
      <c r="K1460" s="91" t="n"/>
      <c r="L1460" s="91" t="n"/>
      <c r="M1460" s="95" t="n"/>
      <c r="N1460" s="91" t="n"/>
      <c r="O1460" s="91" t="n"/>
      <c r="P1460" s="91" t="n"/>
    </row>
    <row r="1461" ht="32" customHeight="1">
      <c r="A1461" s="92" t="n"/>
      <c r="B1461" s="92" t="n"/>
      <c r="C1461" s="92" t="n"/>
      <c r="D1461" s="92" t="n"/>
      <c r="E1461" s="92" t="n"/>
      <c r="F1461" s="96" t="n"/>
      <c r="G1461" s="96" t="n"/>
      <c r="H1461" s="92" t="n"/>
      <c r="I1461" s="92" t="n"/>
      <c r="J1461" s="92" t="n"/>
      <c r="K1461" s="92" t="n"/>
      <c r="L1461" s="92" t="n"/>
      <c r="M1461" s="97" t="n"/>
      <c r="N1461" s="92" t="n"/>
      <c r="O1461" s="92" t="n"/>
      <c r="P1461" s="92" t="n"/>
    </row>
    <row r="1462" ht="32" customHeight="1">
      <c r="A1462" s="91" t="n"/>
      <c r="B1462" s="91" t="n"/>
      <c r="C1462" s="91" t="n"/>
      <c r="D1462" s="91" t="n"/>
      <c r="E1462" s="91" t="n"/>
      <c r="F1462" s="94" t="n"/>
      <c r="G1462" s="94" t="n"/>
      <c r="H1462" s="91" t="n"/>
      <c r="I1462" s="91" t="n"/>
      <c r="J1462" s="91" t="n"/>
      <c r="K1462" s="91" t="n"/>
      <c r="L1462" s="91" t="n"/>
      <c r="M1462" s="95" t="n"/>
      <c r="N1462" s="91" t="n"/>
      <c r="O1462" s="91" t="n"/>
      <c r="P1462" s="91" t="n"/>
    </row>
    <row r="1463" ht="32" customHeight="1">
      <c r="A1463" s="92" t="n"/>
      <c r="B1463" s="92" t="n"/>
      <c r="C1463" s="92" t="n"/>
      <c r="D1463" s="92" t="n"/>
      <c r="E1463" s="92" t="n"/>
      <c r="F1463" s="96" t="n"/>
      <c r="G1463" s="96" t="n"/>
      <c r="H1463" s="92" t="n"/>
      <c r="I1463" s="92" t="n"/>
      <c r="J1463" s="92" t="n"/>
      <c r="K1463" s="92" t="n"/>
      <c r="L1463" s="92" t="n"/>
      <c r="M1463" s="97" t="n"/>
      <c r="N1463" s="92" t="n"/>
      <c r="O1463" s="92" t="n"/>
      <c r="P1463" s="92" t="n"/>
    </row>
    <row r="1464" ht="32" customHeight="1">
      <c r="A1464" s="91" t="n"/>
      <c r="B1464" s="91" t="n"/>
      <c r="C1464" s="91" t="n"/>
      <c r="D1464" s="91" t="n"/>
      <c r="E1464" s="91" t="n"/>
      <c r="F1464" s="94" t="n"/>
      <c r="G1464" s="94" t="n"/>
      <c r="H1464" s="91" t="n"/>
      <c r="I1464" s="91" t="n"/>
      <c r="J1464" s="91" t="n"/>
      <c r="K1464" s="91" t="n"/>
      <c r="L1464" s="91" t="n"/>
      <c r="M1464" s="95" t="n"/>
      <c r="N1464" s="91" t="n"/>
      <c r="O1464" s="91" t="n"/>
      <c r="P1464" s="91" t="n"/>
    </row>
    <row r="1465" ht="32" customHeight="1">
      <c r="A1465" s="92" t="n"/>
      <c r="B1465" s="92" t="n"/>
      <c r="C1465" s="92" t="n"/>
      <c r="D1465" s="92" t="n"/>
      <c r="E1465" s="92" t="n"/>
      <c r="F1465" s="96" t="n"/>
      <c r="G1465" s="96" t="n"/>
      <c r="H1465" s="92" t="n"/>
      <c r="I1465" s="92" t="n"/>
      <c r="J1465" s="92" t="n"/>
      <c r="K1465" s="92" t="n"/>
      <c r="L1465" s="92" t="n"/>
      <c r="M1465" s="97" t="n"/>
      <c r="N1465" s="92" t="n"/>
      <c r="O1465" s="92" t="n"/>
      <c r="P1465" s="92" t="n"/>
    </row>
    <row r="1466" ht="32" customHeight="1">
      <c r="A1466" s="91" t="n"/>
      <c r="B1466" s="91" t="n"/>
      <c r="C1466" s="91" t="n"/>
      <c r="D1466" s="91" t="n"/>
      <c r="E1466" s="91" t="n"/>
      <c r="F1466" s="94" t="n"/>
      <c r="G1466" s="94" t="n"/>
      <c r="H1466" s="91" t="n"/>
      <c r="I1466" s="91" t="n"/>
      <c r="J1466" s="91" t="n"/>
      <c r="K1466" s="91" t="n"/>
      <c r="L1466" s="91" t="n"/>
      <c r="M1466" s="95" t="n"/>
      <c r="N1466" s="91" t="n"/>
      <c r="O1466" s="91" t="n"/>
      <c r="P1466" s="91" t="n"/>
    </row>
    <row r="1467" ht="32" customHeight="1">
      <c r="A1467" s="92" t="n"/>
      <c r="B1467" s="92" t="n"/>
      <c r="C1467" s="92" t="n"/>
      <c r="D1467" s="92" t="n"/>
      <c r="E1467" s="92" t="n"/>
      <c r="F1467" s="96" t="n"/>
      <c r="G1467" s="96" t="n"/>
      <c r="H1467" s="92" t="n"/>
      <c r="I1467" s="92" t="n"/>
      <c r="J1467" s="92" t="n"/>
      <c r="K1467" s="92" t="n"/>
      <c r="L1467" s="92" t="n"/>
      <c r="M1467" s="97" t="n"/>
      <c r="N1467" s="92" t="n"/>
      <c r="O1467" s="92" t="n"/>
      <c r="P1467" s="92" t="n"/>
    </row>
    <row r="1468" ht="32" customHeight="1">
      <c r="A1468" s="91" t="n"/>
      <c r="B1468" s="91" t="n"/>
      <c r="C1468" s="91" t="n"/>
      <c r="D1468" s="91" t="n"/>
      <c r="E1468" s="91" t="n"/>
      <c r="F1468" s="94" t="n"/>
      <c r="G1468" s="94" t="n"/>
      <c r="H1468" s="91" t="n"/>
      <c r="I1468" s="91" t="n"/>
      <c r="J1468" s="91" t="n"/>
      <c r="K1468" s="91" t="n"/>
      <c r="L1468" s="91" t="n"/>
      <c r="M1468" s="95" t="n"/>
      <c r="N1468" s="91" t="n"/>
      <c r="O1468" s="91" t="n"/>
      <c r="P1468" s="91" t="n"/>
    </row>
    <row r="1469" ht="32" customHeight="1">
      <c r="A1469" s="92" t="n"/>
      <c r="B1469" s="92" t="n"/>
      <c r="C1469" s="92" t="n"/>
      <c r="D1469" s="92" t="n"/>
      <c r="E1469" s="92" t="n"/>
      <c r="F1469" s="96" t="n"/>
      <c r="G1469" s="96" t="n"/>
      <c r="H1469" s="92" t="n"/>
      <c r="I1469" s="92" t="n"/>
      <c r="J1469" s="92" t="n"/>
      <c r="K1469" s="92" t="n"/>
      <c r="L1469" s="92" t="n"/>
      <c r="M1469" s="97" t="n"/>
      <c r="N1469" s="92" t="n"/>
      <c r="O1469" s="92" t="n"/>
      <c r="P1469" s="92" t="n"/>
    </row>
    <row r="1470" ht="32" customHeight="1">
      <c r="A1470" s="91" t="n"/>
      <c r="B1470" s="91" t="n"/>
      <c r="C1470" s="91" t="n"/>
      <c r="D1470" s="91" t="n"/>
      <c r="E1470" s="91" t="n"/>
      <c r="F1470" s="94" t="n"/>
      <c r="G1470" s="94" t="n"/>
      <c r="H1470" s="91" t="n"/>
      <c r="I1470" s="91" t="n"/>
      <c r="J1470" s="91" t="n"/>
      <c r="K1470" s="91" t="n"/>
      <c r="L1470" s="91" t="n"/>
      <c r="M1470" s="95" t="n"/>
      <c r="N1470" s="91" t="n"/>
      <c r="O1470" s="91" t="n"/>
      <c r="P1470" s="91" t="n"/>
    </row>
    <row r="1471" ht="32" customHeight="1">
      <c r="A1471" s="92" t="n"/>
      <c r="B1471" s="92" t="n"/>
      <c r="C1471" s="92" t="n"/>
      <c r="D1471" s="92" t="n"/>
      <c r="E1471" s="92" t="n"/>
      <c r="F1471" s="96" t="n"/>
      <c r="G1471" s="96" t="n"/>
      <c r="H1471" s="92" t="n"/>
      <c r="I1471" s="92" t="n"/>
      <c r="J1471" s="92" t="n"/>
      <c r="K1471" s="92" t="n"/>
      <c r="L1471" s="92" t="n"/>
      <c r="M1471" s="97" t="n"/>
      <c r="N1471" s="92" t="n"/>
      <c r="O1471" s="92" t="n"/>
      <c r="P1471" s="92" t="n"/>
    </row>
    <row r="1472" ht="32" customHeight="1">
      <c r="A1472" s="91" t="n"/>
      <c r="B1472" s="91" t="n"/>
      <c r="C1472" s="91" t="n"/>
      <c r="D1472" s="91" t="n"/>
      <c r="E1472" s="91" t="n"/>
      <c r="F1472" s="94" t="n"/>
      <c r="G1472" s="94" t="n"/>
      <c r="H1472" s="91" t="n"/>
      <c r="I1472" s="91" t="n"/>
      <c r="J1472" s="91" t="n"/>
      <c r="K1472" s="91" t="n"/>
      <c r="L1472" s="91" t="n"/>
      <c r="M1472" s="95" t="n"/>
      <c r="N1472" s="91" t="n"/>
      <c r="O1472" s="91" t="n"/>
      <c r="P1472" s="91" t="n"/>
    </row>
    <row r="1473" ht="32" customHeight="1">
      <c r="A1473" s="92" t="n"/>
      <c r="B1473" s="92" t="n"/>
      <c r="C1473" s="92" t="n"/>
      <c r="D1473" s="92" t="n"/>
      <c r="E1473" s="92" t="n"/>
      <c r="F1473" s="96" t="n"/>
      <c r="G1473" s="96" t="n"/>
      <c r="H1473" s="92" t="n"/>
      <c r="I1473" s="92" t="n"/>
      <c r="J1473" s="92" t="n"/>
      <c r="K1473" s="92" t="n"/>
      <c r="L1473" s="92" t="n"/>
      <c r="M1473" s="97" t="n"/>
      <c r="N1473" s="92" t="n"/>
      <c r="O1473" s="92" t="n"/>
      <c r="P1473" s="92" t="n"/>
    </row>
    <row r="1474" ht="32" customHeight="1">
      <c r="A1474" s="91" t="n"/>
      <c r="B1474" s="91" t="n"/>
      <c r="C1474" s="91" t="n"/>
      <c r="D1474" s="91" t="n"/>
      <c r="E1474" s="91" t="n"/>
      <c r="F1474" s="94" t="n"/>
      <c r="G1474" s="94" t="n"/>
      <c r="H1474" s="91" t="n"/>
      <c r="I1474" s="91" t="n"/>
      <c r="J1474" s="91" t="n"/>
      <c r="K1474" s="91" t="n"/>
      <c r="L1474" s="91" t="n"/>
      <c r="M1474" s="95" t="n"/>
      <c r="N1474" s="91" t="n"/>
      <c r="O1474" s="91" t="n"/>
      <c r="P1474" s="91" t="n"/>
    </row>
    <row r="1475" ht="32" customHeight="1">
      <c r="A1475" s="92" t="n"/>
      <c r="B1475" s="92" t="n"/>
      <c r="C1475" s="92" t="n"/>
      <c r="D1475" s="92" t="n"/>
      <c r="E1475" s="92" t="n"/>
      <c r="F1475" s="96" t="n"/>
      <c r="G1475" s="96" t="n"/>
      <c r="H1475" s="92" t="n"/>
      <c r="I1475" s="92" t="n"/>
      <c r="J1475" s="92" t="n"/>
      <c r="K1475" s="92" t="n"/>
      <c r="L1475" s="92" t="n"/>
      <c r="M1475" s="97" t="n"/>
      <c r="N1475" s="92" t="n"/>
      <c r="O1475" s="92" t="n"/>
      <c r="P1475" s="92" t="n"/>
    </row>
    <row r="1476" ht="32" customHeight="1">
      <c r="A1476" s="91" t="n"/>
      <c r="B1476" s="91" t="n"/>
      <c r="C1476" s="91" t="n"/>
      <c r="D1476" s="91" t="n"/>
      <c r="E1476" s="91" t="n"/>
      <c r="F1476" s="94" t="n"/>
      <c r="G1476" s="94" t="n"/>
      <c r="H1476" s="91" t="n"/>
      <c r="I1476" s="91" t="n"/>
      <c r="J1476" s="91" t="n"/>
      <c r="K1476" s="91" t="n"/>
      <c r="L1476" s="91" t="n"/>
      <c r="M1476" s="95" t="n"/>
      <c r="N1476" s="91" t="n"/>
      <c r="O1476" s="91" t="n"/>
      <c r="P1476" s="91" t="n"/>
    </row>
    <row r="1477" ht="32" customHeight="1">
      <c r="A1477" s="92" t="n"/>
      <c r="B1477" s="92" t="n"/>
      <c r="C1477" s="92" t="n"/>
      <c r="D1477" s="92" t="n"/>
      <c r="E1477" s="92" t="n"/>
      <c r="F1477" s="96" t="n"/>
      <c r="G1477" s="96" t="n"/>
      <c r="H1477" s="92" t="n"/>
      <c r="I1477" s="92" t="n"/>
      <c r="J1477" s="92" t="n"/>
      <c r="K1477" s="92" t="n"/>
      <c r="L1477" s="92" t="n"/>
      <c r="M1477" s="97" t="n"/>
      <c r="N1477" s="92" t="n"/>
      <c r="O1477" s="92" t="n"/>
      <c r="P1477" s="92" t="n"/>
    </row>
    <row r="1478" ht="32" customHeight="1">
      <c r="A1478" s="91" t="n"/>
      <c r="B1478" s="91" t="n"/>
      <c r="C1478" s="91" t="n"/>
      <c r="D1478" s="91" t="n"/>
      <c r="E1478" s="91" t="n"/>
      <c r="F1478" s="94" t="n"/>
      <c r="G1478" s="94" t="n"/>
      <c r="H1478" s="91" t="n"/>
      <c r="I1478" s="91" t="n"/>
      <c r="J1478" s="91" t="n"/>
      <c r="K1478" s="91" t="n"/>
      <c r="L1478" s="91" t="n"/>
      <c r="M1478" s="95" t="n"/>
      <c r="N1478" s="91" t="n"/>
      <c r="O1478" s="91" t="n"/>
      <c r="P1478" s="91" t="n"/>
    </row>
    <row r="1479" ht="32" customHeight="1">
      <c r="A1479" s="92" t="n"/>
      <c r="B1479" s="92" t="n"/>
      <c r="C1479" s="92" t="n"/>
      <c r="D1479" s="92" t="n"/>
      <c r="E1479" s="92" t="n"/>
      <c r="F1479" s="96" t="n"/>
      <c r="G1479" s="96" t="n"/>
      <c r="H1479" s="92" t="n"/>
      <c r="I1479" s="92" t="n"/>
      <c r="J1479" s="92" t="n"/>
      <c r="K1479" s="92" t="n"/>
      <c r="L1479" s="92" t="n"/>
      <c r="M1479" s="97" t="n"/>
      <c r="N1479" s="92" t="n"/>
      <c r="O1479" s="92" t="n"/>
      <c r="P1479" s="92" t="n"/>
    </row>
    <row r="1480" ht="32" customHeight="1">
      <c r="A1480" s="91" t="n"/>
      <c r="B1480" s="91" t="n"/>
      <c r="C1480" s="91" t="n"/>
      <c r="D1480" s="91" t="n"/>
      <c r="E1480" s="91" t="n"/>
      <c r="F1480" s="94" t="n"/>
      <c r="G1480" s="94" t="n"/>
      <c r="H1480" s="91" t="n"/>
      <c r="I1480" s="91" t="n"/>
      <c r="J1480" s="91" t="n"/>
      <c r="K1480" s="91" t="n"/>
      <c r="L1480" s="91" t="n"/>
      <c r="M1480" s="95" t="n"/>
      <c r="N1480" s="91" t="n"/>
      <c r="O1480" s="91" t="n"/>
      <c r="P1480" s="91" t="n"/>
    </row>
    <row r="1481" ht="32" customHeight="1">
      <c r="A1481" s="92" t="n"/>
      <c r="B1481" s="92" t="n"/>
      <c r="C1481" s="92" t="n"/>
      <c r="D1481" s="92" t="n"/>
      <c r="E1481" s="92" t="n"/>
      <c r="F1481" s="96" t="n"/>
      <c r="G1481" s="96" t="n"/>
      <c r="H1481" s="92" t="n"/>
      <c r="I1481" s="92" t="n"/>
      <c r="J1481" s="92" t="n"/>
      <c r="K1481" s="92" t="n"/>
      <c r="L1481" s="92" t="n"/>
      <c r="M1481" s="97" t="n"/>
      <c r="N1481" s="92" t="n"/>
      <c r="O1481" s="92" t="n"/>
      <c r="P1481" s="92" t="n"/>
    </row>
    <row r="1482" ht="32" customHeight="1">
      <c r="A1482" s="91" t="n"/>
      <c r="B1482" s="91" t="n"/>
      <c r="C1482" s="91" t="n"/>
      <c r="D1482" s="91" t="n"/>
      <c r="E1482" s="91" t="n"/>
      <c r="F1482" s="94" t="n"/>
      <c r="G1482" s="94" t="n"/>
      <c r="H1482" s="91" t="n"/>
      <c r="I1482" s="91" t="n"/>
      <c r="J1482" s="91" t="n"/>
      <c r="K1482" s="91" t="n"/>
      <c r="L1482" s="91" t="n"/>
      <c r="M1482" s="95" t="n"/>
      <c r="N1482" s="91" t="n"/>
      <c r="O1482" s="91" t="n"/>
      <c r="P1482" s="91" t="n"/>
    </row>
    <row r="1483" ht="32" customHeight="1">
      <c r="A1483" s="92" t="n"/>
      <c r="B1483" s="92" t="n"/>
      <c r="C1483" s="92" t="n"/>
      <c r="D1483" s="92" t="n"/>
      <c r="E1483" s="92" t="n"/>
      <c r="F1483" s="96" t="n"/>
      <c r="G1483" s="96" t="n"/>
      <c r="H1483" s="92" t="n"/>
      <c r="I1483" s="92" t="n"/>
      <c r="J1483" s="92" t="n"/>
      <c r="K1483" s="92" t="n"/>
      <c r="L1483" s="92" t="n"/>
      <c r="M1483" s="97" t="n"/>
      <c r="N1483" s="92" t="n"/>
      <c r="O1483" s="92" t="n"/>
      <c r="P1483" s="92" t="n"/>
    </row>
    <row r="1484" ht="32" customHeight="1">
      <c r="A1484" s="91" t="n"/>
      <c r="B1484" s="91" t="n"/>
      <c r="C1484" s="91" t="n"/>
      <c r="D1484" s="91" t="n"/>
      <c r="E1484" s="91" t="n"/>
      <c r="F1484" s="94" t="n"/>
      <c r="G1484" s="94" t="n"/>
      <c r="H1484" s="91" t="n"/>
      <c r="I1484" s="91" t="n"/>
      <c r="J1484" s="91" t="n"/>
      <c r="K1484" s="91" t="n"/>
      <c r="L1484" s="91" t="n"/>
      <c r="M1484" s="95" t="n"/>
      <c r="N1484" s="91" t="n"/>
      <c r="O1484" s="91" t="n"/>
      <c r="P1484" s="91" t="n"/>
    </row>
    <row r="1485" ht="32" customHeight="1">
      <c r="A1485" s="92" t="n"/>
      <c r="B1485" s="92" t="n"/>
      <c r="C1485" s="92" t="n"/>
      <c r="D1485" s="92" t="n"/>
      <c r="E1485" s="92" t="n"/>
      <c r="F1485" s="96" t="n"/>
      <c r="G1485" s="96" t="n"/>
      <c r="H1485" s="92" t="n"/>
      <c r="I1485" s="92" t="n"/>
      <c r="J1485" s="92" t="n"/>
      <c r="K1485" s="92" t="n"/>
      <c r="L1485" s="92" t="n"/>
      <c r="M1485" s="97" t="n"/>
      <c r="N1485" s="92" t="n"/>
      <c r="O1485" s="92" t="n"/>
      <c r="P1485" s="92" t="n"/>
    </row>
    <row r="1486" ht="32" customHeight="1">
      <c r="A1486" s="91" t="n"/>
      <c r="B1486" s="91" t="n"/>
      <c r="C1486" s="91" t="n"/>
      <c r="D1486" s="91" t="n"/>
      <c r="E1486" s="91" t="n"/>
      <c r="F1486" s="94" t="n"/>
      <c r="G1486" s="94" t="n"/>
      <c r="H1486" s="91" t="n"/>
      <c r="I1486" s="91" t="n"/>
      <c r="J1486" s="91" t="n"/>
      <c r="K1486" s="91" t="n"/>
      <c r="L1486" s="91" t="n"/>
      <c r="M1486" s="95" t="n"/>
      <c r="N1486" s="91" t="n"/>
      <c r="O1486" s="91" t="n"/>
      <c r="P1486" s="91" t="n"/>
    </row>
    <row r="1487" ht="32" customHeight="1">
      <c r="A1487" s="92" t="n"/>
      <c r="B1487" s="92" t="n"/>
      <c r="C1487" s="92" t="n"/>
      <c r="D1487" s="92" t="n"/>
      <c r="E1487" s="92" t="n"/>
      <c r="F1487" s="96" t="n"/>
      <c r="G1487" s="96" t="n"/>
      <c r="H1487" s="92" t="n"/>
      <c r="I1487" s="92" t="n"/>
      <c r="J1487" s="92" t="n"/>
      <c r="K1487" s="92" t="n"/>
      <c r="L1487" s="92" t="n"/>
      <c r="M1487" s="97" t="n"/>
      <c r="N1487" s="92" t="n"/>
      <c r="O1487" s="92" t="n"/>
      <c r="P1487" s="92" t="n"/>
    </row>
    <row r="1488" ht="32" customHeight="1">
      <c r="A1488" s="91" t="n"/>
      <c r="B1488" s="91" t="n"/>
      <c r="C1488" s="91" t="n"/>
      <c r="D1488" s="91" t="n"/>
      <c r="E1488" s="91" t="n"/>
      <c r="F1488" s="94" t="n"/>
      <c r="G1488" s="94" t="n"/>
      <c r="H1488" s="91" t="n"/>
      <c r="I1488" s="91" t="n"/>
      <c r="J1488" s="91" t="n"/>
      <c r="K1488" s="91" t="n"/>
      <c r="L1488" s="91" t="n"/>
      <c r="M1488" s="95" t="n"/>
      <c r="N1488" s="91" t="n"/>
      <c r="O1488" s="91" t="n"/>
      <c r="P1488" s="91" t="n"/>
    </row>
    <row r="1489" ht="32" customHeight="1">
      <c r="A1489" s="92" t="n"/>
      <c r="B1489" s="92" t="n"/>
      <c r="C1489" s="92" t="n"/>
      <c r="D1489" s="92" t="n"/>
      <c r="E1489" s="92" t="n"/>
      <c r="F1489" s="96" t="n"/>
      <c r="G1489" s="96" t="n"/>
      <c r="H1489" s="92" t="n"/>
      <c r="I1489" s="92" t="n"/>
      <c r="J1489" s="92" t="n"/>
      <c r="K1489" s="92" t="n"/>
      <c r="L1489" s="92" t="n"/>
      <c r="M1489" s="97" t="n"/>
      <c r="N1489" s="92" t="n"/>
      <c r="O1489" s="92" t="n"/>
      <c r="P1489" s="92" t="n"/>
    </row>
    <row r="1490" ht="32" customHeight="1">
      <c r="A1490" s="91" t="n"/>
      <c r="B1490" s="91" t="n"/>
      <c r="C1490" s="91" t="n"/>
      <c r="D1490" s="91" t="n"/>
      <c r="E1490" s="91" t="n"/>
      <c r="F1490" s="94" t="n"/>
      <c r="G1490" s="94" t="n"/>
      <c r="H1490" s="91" t="n"/>
      <c r="I1490" s="91" t="n"/>
      <c r="J1490" s="91" t="n"/>
      <c r="K1490" s="91" t="n"/>
      <c r="L1490" s="91" t="n"/>
      <c r="M1490" s="95" t="n"/>
      <c r="N1490" s="91" t="n"/>
      <c r="O1490" s="91" t="n"/>
      <c r="P1490" s="91" t="n"/>
    </row>
    <row r="1491" ht="32" customHeight="1">
      <c r="A1491" s="92" t="n"/>
      <c r="B1491" s="92" t="n"/>
      <c r="C1491" s="92" t="n"/>
      <c r="D1491" s="92" t="n"/>
      <c r="E1491" s="92" t="n"/>
      <c r="F1491" s="96" t="n"/>
      <c r="G1491" s="96" t="n"/>
      <c r="H1491" s="92" t="n"/>
      <c r="I1491" s="92" t="n"/>
      <c r="J1491" s="92" t="n"/>
      <c r="K1491" s="92" t="n"/>
      <c r="L1491" s="92" t="n"/>
      <c r="M1491" s="97" t="n"/>
      <c r="N1491" s="92" t="n"/>
      <c r="O1491" s="92" t="n"/>
      <c r="P1491" s="92" t="n"/>
    </row>
    <row r="1492" ht="32" customHeight="1">
      <c r="A1492" s="91" t="n"/>
      <c r="B1492" s="91" t="n"/>
      <c r="C1492" s="91" t="n"/>
      <c r="D1492" s="91" t="n"/>
      <c r="E1492" s="91" t="n"/>
      <c r="F1492" s="94" t="n"/>
      <c r="G1492" s="94" t="n"/>
      <c r="H1492" s="91" t="n"/>
      <c r="I1492" s="91" t="n"/>
      <c r="J1492" s="91" t="n"/>
      <c r="K1492" s="91" t="n"/>
      <c r="L1492" s="91" t="n"/>
      <c r="M1492" s="95" t="n"/>
      <c r="N1492" s="91" t="n"/>
      <c r="O1492" s="91" t="n"/>
      <c r="P1492" s="91" t="n"/>
    </row>
    <row r="1493" ht="32" customHeight="1">
      <c r="A1493" s="92" t="n"/>
      <c r="B1493" s="92" t="n"/>
      <c r="C1493" s="92" t="n"/>
      <c r="D1493" s="92" t="n"/>
      <c r="E1493" s="92" t="n"/>
      <c r="F1493" s="96" t="n"/>
      <c r="G1493" s="96" t="n"/>
      <c r="H1493" s="92" t="n"/>
      <c r="I1493" s="92" t="n"/>
      <c r="J1493" s="92" t="n"/>
      <c r="K1493" s="92" t="n"/>
      <c r="L1493" s="92" t="n"/>
      <c r="M1493" s="97" t="n"/>
      <c r="N1493" s="92" t="n"/>
      <c r="O1493" s="92" t="n"/>
      <c r="P1493" s="92" t="n"/>
    </row>
    <row r="1494" ht="32" customHeight="1">
      <c r="A1494" s="91" t="n"/>
      <c r="B1494" s="91" t="n"/>
      <c r="C1494" s="91" t="n"/>
      <c r="D1494" s="91" t="n"/>
      <c r="E1494" s="91" t="n"/>
      <c r="F1494" s="94" t="n"/>
      <c r="G1494" s="94" t="n"/>
      <c r="H1494" s="91" t="n"/>
      <c r="I1494" s="91" t="n"/>
      <c r="J1494" s="91" t="n"/>
      <c r="K1494" s="91" t="n"/>
      <c r="L1494" s="91" t="n"/>
      <c r="M1494" s="95" t="n"/>
      <c r="N1494" s="91" t="n"/>
      <c r="O1494" s="91" t="n"/>
      <c r="P1494" s="91" t="n"/>
    </row>
    <row r="1495" ht="32" customHeight="1">
      <c r="A1495" s="92" t="n"/>
      <c r="B1495" s="92" t="n"/>
      <c r="C1495" s="92" t="n"/>
      <c r="D1495" s="92" t="n"/>
      <c r="E1495" s="92" t="n"/>
      <c r="F1495" s="96" t="n"/>
      <c r="G1495" s="96" t="n"/>
      <c r="H1495" s="92" t="n"/>
      <c r="I1495" s="92" t="n"/>
      <c r="J1495" s="92" t="n"/>
      <c r="K1495" s="92" t="n"/>
      <c r="L1495" s="92" t="n"/>
      <c r="M1495" s="97" t="n"/>
      <c r="N1495" s="92" t="n"/>
      <c r="O1495" s="92" t="n"/>
      <c r="P1495" s="92" t="n"/>
    </row>
    <row r="1496" ht="32" customHeight="1">
      <c r="A1496" s="91" t="n"/>
      <c r="B1496" s="91" t="n"/>
      <c r="C1496" s="91" t="n"/>
      <c r="D1496" s="91" t="n"/>
      <c r="E1496" s="91" t="n"/>
      <c r="F1496" s="94" t="n"/>
      <c r="G1496" s="94" t="n"/>
      <c r="H1496" s="91" t="n"/>
      <c r="I1496" s="91" t="n"/>
      <c r="J1496" s="91" t="n"/>
      <c r="K1496" s="91" t="n"/>
      <c r="L1496" s="91" t="n"/>
      <c r="M1496" s="95" t="n"/>
      <c r="N1496" s="91" t="n"/>
      <c r="O1496" s="91" t="n"/>
      <c r="P1496" s="91" t="n"/>
    </row>
    <row r="1497" ht="32" customHeight="1">
      <c r="A1497" s="92" t="n"/>
      <c r="B1497" s="92" t="n"/>
      <c r="C1497" s="92" t="n"/>
      <c r="D1497" s="92" t="n"/>
      <c r="E1497" s="92" t="n"/>
      <c r="F1497" s="96" t="n"/>
      <c r="G1497" s="96" t="n"/>
      <c r="H1497" s="92" t="n"/>
      <c r="I1497" s="92" t="n"/>
      <c r="J1497" s="92" t="n"/>
      <c r="K1497" s="92" t="n"/>
      <c r="L1497" s="92" t="n"/>
      <c r="M1497" s="97" t="n"/>
      <c r="N1497" s="92" t="n"/>
      <c r="O1497" s="92" t="n"/>
      <c r="P1497" s="92" t="n"/>
    </row>
    <row r="1498" ht="32" customHeight="1">
      <c r="A1498" s="91" t="n"/>
      <c r="B1498" s="91" t="n"/>
      <c r="C1498" s="91" t="n"/>
      <c r="D1498" s="91" t="n"/>
      <c r="E1498" s="91" t="n"/>
      <c r="F1498" s="94" t="n"/>
      <c r="G1498" s="94" t="n"/>
      <c r="H1498" s="91" t="n"/>
      <c r="I1498" s="91" t="n"/>
      <c r="J1498" s="91" t="n"/>
      <c r="K1498" s="91" t="n"/>
      <c r="L1498" s="91" t="n"/>
      <c r="M1498" s="95" t="n"/>
      <c r="N1498" s="91" t="n"/>
      <c r="O1498" s="91" t="n"/>
      <c r="P1498" s="91" t="n"/>
    </row>
    <row r="1499" ht="32" customHeight="1">
      <c r="A1499" s="92" t="n"/>
      <c r="B1499" s="92" t="n"/>
      <c r="C1499" s="92" t="n"/>
      <c r="D1499" s="92" t="n"/>
      <c r="E1499" s="92" t="n"/>
      <c r="F1499" s="96" t="n"/>
      <c r="G1499" s="96" t="n"/>
      <c r="H1499" s="92" t="n"/>
      <c r="I1499" s="92" t="n"/>
      <c r="J1499" s="92" t="n"/>
      <c r="K1499" s="92" t="n"/>
      <c r="L1499" s="92" t="n"/>
      <c r="M1499" s="97" t="n"/>
      <c r="N1499" s="92" t="n"/>
      <c r="O1499" s="92" t="n"/>
      <c r="P1499" s="92" t="n"/>
    </row>
    <row r="1500" ht="32" customHeight="1">
      <c r="A1500" s="91" t="n"/>
      <c r="B1500" s="91" t="n"/>
      <c r="C1500" s="91" t="n"/>
      <c r="D1500" s="91" t="n"/>
      <c r="E1500" s="91" t="n"/>
      <c r="F1500" s="94" t="n"/>
      <c r="G1500" s="94" t="n"/>
      <c r="H1500" s="91" t="n"/>
      <c r="I1500" s="91" t="n"/>
      <c r="J1500" s="91" t="n"/>
      <c r="K1500" s="91" t="n"/>
      <c r="L1500" s="91" t="n"/>
      <c r="M1500" s="95" t="n"/>
      <c r="N1500" s="91" t="n"/>
      <c r="O1500" s="91" t="n"/>
      <c r="P1500" s="91" t="n"/>
    </row>
    <row r="1501" ht="32" customHeight="1">
      <c r="A1501" s="92" t="n"/>
      <c r="B1501" s="92" t="n"/>
      <c r="C1501" s="92" t="n"/>
      <c r="D1501" s="92" t="n"/>
      <c r="E1501" s="92" t="n"/>
      <c r="F1501" s="96" t="n"/>
      <c r="G1501" s="96" t="n"/>
      <c r="H1501" s="92" t="n"/>
      <c r="I1501" s="92" t="n"/>
      <c r="J1501" s="92" t="n"/>
      <c r="K1501" s="92" t="n"/>
      <c r="L1501" s="92" t="n"/>
      <c r="M1501" s="97" t="n"/>
      <c r="N1501" s="92" t="n"/>
      <c r="O1501" s="92" t="n"/>
      <c r="P1501" s="92" t="n"/>
    </row>
    <row r="1502" ht="32" customHeight="1">
      <c r="A1502" s="91" t="n"/>
      <c r="B1502" s="91" t="n"/>
      <c r="C1502" s="91" t="n"/>
      <c r="D1502" s="91" t="n"/>
      <c r="E1502" s="91" t="n"/>
      <c r="F1502" s="94" t="n"/>
      <c r="G1502" s="94" t="n"/>
      <c r="H1502" s="91" t="n"/>
      <c r="I1502" s="91" t="n"/>
      <c r="J1502" s="91" t="n"/>
      <c r="K1502" s="91" t="n"/>
      <c r="L1502" s="91" t="n"/>
      <c r="M1502" s="95" t="n"/>
      <c r="N1502" s="91" t="n"/>
      <c r="O1502" s="91" t="n"/>
      <c r="P1502" s="91" t="n"/>
    </row>
    <row r="1503" ht="32" customHeight="1">
      <c r="A1503" s="92" t="n"/>
      <c r="B1503" s="92" t="n"/>
      <c r="C1503" s="92" t="n"/>
      <c r="D1503" s="92" t="n"/>
      <c r="E1503" s="92" t="n"/>
      <c r="F1503" s="96" t="n"/>
      <c r="G1503" s="96" t="n"/>
      <c r="H1503" s="92" t="n"/>
      <c r="I1503" s="92" t="n"/>
      <c r="J1503" s="92" t="n"/>
      <c r="K1503" s="92" t="n"/>
      <c r="L1503" s="92" t="n"/>
      <c r="M1503" s="97" t="n"/>
      <c r="N1503" s="92" t="n"/>
      <c r="O1503" s="92" t="n"/>
      <c r="P1503" s="92" t="n"/>
    </row>
    <row r="1504" ht="32" customHeight="1">
      <c r="A1504" s="91" t="n"/>
      <c r="B1504" s="91" t="n"/>
      <c r="C1504" s="91" t="n"/>
      <c r="D1504" s="91" t="n"/>
      <c r="E1504" s="91" t="n"/>
      <c r="F1504" s="94" t="n"/>
      <c r="G1504" s="94" t="n"/>
      <c r="H1504" s="91" t="n"/>
      <c r="I1504" s="91" t="n"/>
      <c r="J1504" s="91" t="n"/>
      <c r="K1504" s="91" t="n"/>
      <c r="L1504" s="91" t="n"/>
      <c r="M1504" s="95" t="n"/>
      <c r="N1504" s="91" t="n"/>
      <c r="O1504" s="91" t="n"/>
      <c r="P1504" s="91" t="n"/>
    </row>
    <row r="1505" ht="32" customHeight="1">
      <c r="A1505" s="92" t="n"/>
      <c r="B1505" s="92" t="n"/>
      <c r="C1505" s="92" t="n"/>
      <c r="D1505" s="92" t="n"/>
      <c r="E1505" s="92" t="n"/>
      <c r="F1505" s="96" t="n"/>
      <c r="G1505" s="96" t="n"/>
      <c r="H1505" s="92" t="n"/>
      <c r="I1505" s="92" t="n"/>
      <c r="J1505" s="92" t="n"/>
      <c r="K1505" s="92" t="n"/>
      <c r="L1505" s="92" t="n"/>
      <c r="M1505" s="97" t="n"/>
      <c r="N1505" s="92" t="n"/>
      <c r="O1505" s="92" t="n"/>
      <c r="P1505" s="92" t="n"/>
    </row>
    <row r="1506" ht="32" customHeight="1">
      <c r="A1506" s="91" t="n"/>
      <c r="B1506" s="91" t="n"/>
      <c r="C1506" s="91" t="n"/>
      <c r="D1506" s="91" t="n"/>
      <c r="E1506" s="91" t="n"/>
      <c r="F1506" s="94" t="n"/>
      <c r="G1506" s="94" t="n"/>
      <c r="H1506" s="91" t="n"/>
      <c r="I1506" s="91" t="n"/>
      <c r="J1506" s="91" t="n"/>
      <c r="K1506" s="91" t="n"/>
      <c r="L1506" s="91" t="n"/>
      <c r="M1506" s="95" t="n"/>
      <c r="N1506" s="91" t="n"/>
      <c r="O1506" s="91" t="n"/>
      <c r="P1506" s="91" t="n"/>
    </row>
    <row r="1507" ht="32" customHeight="1">
      <c r="A1507" s="92" t="n"/>
      <c r="B1507" s="92" t="n"/>
      <c r="C1507" s="92" t="n"/>
      <c r="D1507" s="92" t="n"/>
      <c r="E1507" s="92" t="n"/>
      <c r="F1507" s="96" t="n"/>
      <c r="G1507" s="96" t="n"/>
      <c r="H1507" s="92" t="n"/>
      <c r="I1507" s="92" t="n"/>
      <c r="J1507" s="92" t="n"/>
      <c r="K1507" s="92" t="n"/>
      <c r="L1507" s="92" t="n"/>
      <c r="M1507" s="97" t="n"/>
      <c r="N1507" s="92" t="n"/>
      <c r="O1507" s="92" t="n"/>
      <c r="P1507" s="92" t="n"/>
    </row>
    <row r="1508" ht="32" customHeight="1">
      <c r="A1508" s="91" t="n"/>
      <c r="B1508" s="91" t="n"/>
      <c r="C1508" s="91" t="n"/>
      <c r="D1508" s="91" t="n"/>
      <c r="E1508" s="91" t="n"/>
      <c r="F1508" s="94" t="n"/>
      <c r="G1508" s="94" t="n"/>
      <c r="H1508" s="91" t="n"/>
      <c r="I1508" s="91" t="n"/>
      <c r="J1508" s="91" t="n"/>
      <c r="K1508" s="91" t="n"/>
      <c r="L1508" s="91" t="n"/>
      <c r="M1508" s="95" t="n"/>
      <c r="N1508" s="91" t="n"/>
      <c r="O1508" s="91" t="n"/>
      <c r="P1508" s="91" t="n"/>
    </row>
    <row r="1509" ht="32" customHeight="1">
      <c r="A1509" s="92" t="n"/>
      <c r="B1509" s="92" t="n"/>
      <c r="C1509" s="92" t="n"/>
      <c r="D1509" s="92" t="n"/>
      <c r="E1509" s="92" t="n"/>
      <c r="F1509" s="96" t="n"/>
      <c r="G1509" s="96" t="n"/>
      <c r="H1509" s="92" t="n"/>
      <c r="I1509" s="92" t="n"/>
      <c r="J1509" s="92" t="n"/>
      <c r="K1509" s="92" t="n"/>
      <c r="L1509" s="92" t="n"/>
      <c r="M1509" s="97" t="n"/>
      <c r="N1509" s="92" t="n"/>
      <c r="O1509" s="92" t="n"/>
      <c r="P1509" s="92" t="n"/>
    </row>
    <row r="1510" ht="32" customHeight="1">
      <c r="A1510" s="91" t="n"/>
      <c r="B1510" s="91" t="n"/>
      <c r="C1510" s="91" t="n"/>
      <c r="D1510" s="91" t="n"/>
      <c r="E1510" s="91" t="n"/>
      <c r="F1510" s="94" t="n"/>
      <c r="G1510" s="94" t="n"/>
      <c r="H1510" s="91" t="n"/>
      <c r="I1510" s="91" t="n"/>
      <c r="J1510" s="91" t="n"/>
      <c r="K1510" s="91" t="n"/>
      <c r="L1510" s="91" t="n"/>
      <c r="M1510" s="95" t="n"/>
      <c r="N1510" s="91" t="n"/>
      <c r="O1510" s="91" t="n"/>
      <c r="P1510" s="91" t="n"/>
    </row>
    <row r="1511" ht="32" customHeight="1">
      <c r="A1511" s="92" t="n"/>
      <c r="B1511" s="92" t="n"/>
      <c r="C1511" s="92" t="n"/>
      <c r="D1511" s="92" t="n"/>
      <c r="E1511" s="92" t="n"/>
      <c r="F1511" s="96" t="n"/>
      <c r="G1511" s="96" t="n"/>
      <c r="H1511" s="92" t="n"/>
      <c r="I1511" s="92" t="n"/>
      <c r="J1511" s="92" t="n"/>
      <c r="K1511" s="92" t="n"/>
      <c r="L1511" s="92" t="n"/>
      <c r="M1511" s="97" t="n"/>
      <c r="N1511" s="92" t="n"/>
      <c r="O1511" s="92" t="n"/>
      <c r="P1511" s="92" t="n"/>
    </row>
    <row r="1512" ht="32" customHeight="1">
      <c r="A1512" s="91" t="n"/>
      <c r="B1512" s="91" t="n"/>
      <c r="C1512" s="91" t="n"/>
      <c r="D1512" s="91" t="n"/>
      <c r="E1512" s="91" t="n"/>
      <c r="F1512" s="94" t="n"/>
      <c r="G1512" s="94" t="n"/>
      <c r="H1512" s="91" t="n"/>
      <c r="I1512" s="91" t="n"/>
      <c r="J1512" s="91" t="n"/>
      <c r="K1512" s="91" t="n"/>
      <c r="L1512" s="91" t="n"/>
      <c r="M1512" s="95" t="n"/>
      <c r="N1512" s="91" t="n"/>
      <c r="O1512" s="91" t="n"/>
      <c r="P1512" s="91" t="n"/>
    </row>
    <row r="1513" ht="32" customHeight="1">
      <c r="A1513" s="92" t="n"/>
      <c r="B1513" s="92" t="n"/>
      <c r="C1513" s="92" t="n"/>
      <c r="D1513" s="92" t="n"/>
      <c r="E1513" s="92" t="n"/>
      <c r="F1513" s="96" t="n"/>
      <c r="G1513" s="96" t="n"/>
      <c r="H1513" s="92" t="n"/>
      <c r="I1513" s="92" t="n"/>
      <c r="J1513" s="92" t="n"/>
      <c r="K1513" s="92" t="n"/>
      <c r="L1513" s="92" t="n"/>
      <c r="M1513" s="97" t="n"/>
      <c r="N1513" s="92" t="n"/>
      <c r="O1513" s="92" t="n"/>
      <c r="P1513" s="92" t="n"/>
    </row>
    <row r="1514" ht="32" customHeight="1">
      <c r="A1514" s="91" t="n"/>
      <c r="B1514" s="91" t="n"/>
      <c r="C1514" s="91" t="n"/>
      <c r="D1514" s="91" t="n"/>
      <c r="E1514" s="91" t="n"/>
      <c r="F1514" s="94" t="n"/>
      <c r="G1514" s="94" t="n"/>
      <c r="H1514" s="91" t="n"/>
      <c r="I1514" s="91" t="n"/>
      <c r="J1514" s="91" t="n"/>
      <c r="K1514" s="91" t="n"/>
      <c r="L1514" s="91" t="n"/>
      <c r="M1514" s="95" t="n"/>
      <c r="N1514" s="91" t="n"/>
      <c r="O1514" s="91" t="n"/>
      <c r="P1514" s="91" t="n"/>
    </row>
    <row r="1515" ht="32" customHeight="1">
      <c r="A1515" s="92" t="n"/>
      <c r="B1515" s="92" t="n"/>
      <c r="C1515" s="92" t="n"/>
      <c r="D1515" s="92" t="n"/>
      <c r="E1515" s="92" t="n"/>
      <c r="F1515" s="96" t="n"/>
      <c r="G1515" s="96" t="n"/>
      <c r="H1515" s="92" t="n"/>
      <c r="I1515" s="92" t="n"/>
      <c r="J1515" s="92" t="n"/>
      <c r="K1515" s="92" t="n"/>
      <c r="L1515" s="92" t="n"/>
      <c r="M1515" s="97" t="n"/>
      <c r="N1515" s="92" t="n"/>
      <c r="O1515" s="92" t="n"/>
      <c r="P1515" s="92" t="n"/>
    </row>
    <row r="1516" ht="32" customHeight="1">
      <c r="A1516" s="91" t="n"/>
      <c r="B1516" s="91" t="n"/>
      <c r="C1516" s="91" t="n"/>
      <c r="D1516" s="91" t="n"/>
      <c r="E1516" s="91" t="n"/>
      <c r="F1516" s="94" t="n"/>
      <c r="G1516" s="94" t="n"/>
      <c r="H1516" s="91" t="n"/>
      <c r="I1516" s="91" t="n"/>
      <c r="J1516" s="91" t="n"/>
      <c r="K1516" s="91" t="n"/>
      <c r="L1516" s="91" t="n"/>
      <c r="M1516" s="95" t="n"/>
      <c r="N1516" s="91" t="n"/>
      <c r="O1516" s="91" t="n"/>
      <c r="P1516" s="91" t="n"/>
    </row>
    <row r="1517" ht="32" customHeight="1">
      <c r="A1517" s="92" t="n"/>
      <c r="B1517" s="92" t="n"/>
      <c r="C1517" s="92" t="n"/>
      <c r="D1517" s="92" t="n"/>
      <c r="E1517" s="92" t="n"/>
      <c r="F1517" s="96" t="n"/>
      <c r="G1517" s="96" t="n"/>
      <c r="H1517" s="92" t="n"/>
      <c r="I1517" s="92" t="n"/>
      <c r="J1517" s="92" t="n"/>
      <c r="K1517" s="92" t="n"/>
      <c r="L1517" s="92" t="n"/>
      <c r="M1517" s="97" t="n"/>
      <c r="N1517" s="92" t="n"/>
      <c r="O1517" s="92" t="n"/>
      <c r="P1517" s="92" t="n"/>
    </row>
    <row r="1518" ht="32" customHeight="1">
      <c r="A1518" s="91" t="n"/>
      <c r="B1518" s="91" t="n"/>
      <c r="C1518" s="91" t="n"/>
      <c r="D1518" s="91" t="n"/>
      <c r="E1518" s="91" t="n"/>
      <c r="F1518" s="94" t="n"/>
      <c r="G1518" s="94" t="n"/>
      <c r="H1518" s="91" t="n"/>
      <c r="I1518" s="91" t="n"/>
      <c r="J1518" s="91" t="n"/>
      <c r="K1518" s="91" t="n"/>
      <c r="L1518" s="91" t="n"/>
      <c r="M1518" s="95" t="n"/>
      <c r="N1518" s="91" t="n"/>
      <c r="O1518" s="91" t="n"/>
      <c r="P1518" s="91" t="n"/>
    </row>
    <row r="1519" ht="32" customHeight="1">
      <c r="A1519" s="92" t="n"/>
      <c r="B1519" s="92" t="n"/>
      <c r="C1519" s="92" t="n"/>
      <c r="D1519" s="92" t="n"/>
      <c r="E1519" s="92" t="n"/>
      <c r="F1519" s="96" t="n"/>
      <c r="G1519" s="96" t="n"/>
      <c r="H1519" s="92" t="n"/>
      <c r="I1519" s="92" t="n"/>
      <c r="J1519" s="92" t="n"/>
      <c r="K1519" s="92" t="n"/>
      <c r="L1519" s="92" t="n"/>
      <c r="M1519" s="97" t="n"/>
      <c r="N1519" s="92" t="n"/>
      <c r="O1519" s="92" t="n"/>
      <c r="P1519" s="92" t="n"/>
    </row>
    <row r="1520" ht="32" customHeight="1">
      <c r="A1520" s="91" t="n"/>
      <c r="B1520" s="91" t="n"/>
      <c r="C1520" s="91" t="n"/>
      <c r="D1520" s="91" t="n"/>
      <c r="E1520" s="91" t="n"/>
      <c r="F1520" s="94" t="n"/>
      <c r="G1520" s="94" t="n"/>
      <c r="H1520" s="91" t="n"/>
      <c r="I1520" s="91" t="n"/>
      <c r="J1520" s="91" t="n"/>
      <c r="K1520" s="91" t="n"/>
      <c r="L1520" s="91" t="n"/>
      <c r="M1520" s="95" t="n"/>
      <c r="N1520" s="91" t="n"/>
      <c r="O1520" s="91" t="n"/>
      <c r="P1520" s="91" t="n"/>
    </row>
    <row r="1521" ht="32" customHeight="1">
      <c r="A1521" s="92" t="n"/>
      <c r="B1521" s="92" t="n"/>
      <c r="C1521" s="92" t="n"/>
      <c r="D1521" s="92" t="n"/>
      <c r="E1521" s="92" t="n"/>
      <c r="F1521" s="96" t="n"/>
      <c r="G1521" s="96" t="n"/>
      <c r="H1521" s="92" t="n"/>
      <c r="I1521" s="92" t="n"/>
      <c r="J1521" s="92" t="n"/>
      <c r="K1521" s="92" t="n"/>
      <c r="L1521" s="92" t="n"/>
      <c r="M1521" s="97" t="n"/>
      <c r="N1521" s="92" t="n"/>
      <c r="O1521" s="92" t="n"/>
      <c r="P1521" s="92" t="n"/>
    </row>
    <row r="1522" ht="32" customHeight="1">
      <c r="A1522" s="91" t="n"/>
      <c r="B1522" s="91" t="n"/>
      <c r="C1522" s="91" t="n"/>
      <c r="D1522" s="91" t="n"/>
      <c r="E1522" s="91" t="n"/>
      <c r="F1522" s="94" t="n"/>
      <c r="G1522" s="94" t="n"/>
      <c r="H1522" s="91" t="n"/>
      <c r="I1522" s="91" t="n"/>
      <c r="J1522" s="91" t="n"/>
      <c r="K1522" s="91" t="n"/>
      <c r="L1522" s="91" t="n"/>
      <c r="M1522" s="95" t="n"/>
      <c r="N1522" s="91" t="n"/>
      <c r="O1522" s="91" t="n"/>
      <c r="P1522" s="91" t="n"/>
    </row>
    <row r="1523" ht="32" customHeight="1">
      <c r="A1523" s="92" t="n"/>
      <c r="B1523" s="92" t="n"/>
      <c r="C1523" s="92" t="n"/>
      <c r="D1523" s="92" t="n"/>
      <c r="E1523" s="92" t="n"/>
      <c r="F1523" s="96" t="n"/>
      <c r="G1523" s="96" t="n"/>
      <c r="H1523" s="92" t="n"/>
      <c r="I1523" s="92" t="n"/>
      <c r="J1523" s="92" t="n"/>
      <c r="K1523" s="92" t="n"/>
      <c r="L1523" s="92" t="n"/>
      <c r="M1523" s="97" t="n"/>
      <c r="N1523" s="92" t="n"/>
      <c r="O1523" s="92" t="n"/>
      <c r="P1523" s="92" t="n"/>
    </row>
    <row r="1524" ht="32" customHeight="1">
      <c r="A1524" s="91" t="n"/>
      <c r="B1524" s="91" t="n"/>
      <c r="C1524" s="91" t="n"/>
      <c r="D1524" s="91" t="n"/>
      <c r="E1524" s="91" t="n"/>
      <c r="F1524" s="94" t="n"/>
      <c r="G1524" s="94" t="n"/>
      <c r="H1524" s="91" t="n"/>
      <c r="I1524" s="91" t="n"/>
      <c r="J1524" s="91" t="n"/>
      <c r="K1524" s="91" t="n"/>
      <c r="L1524" s="91" t="n"/>
      <c r="M1524" s="95" t="n"/>
      <c r="N1524" s="91" t="n"/>
      <c r="O1524" s="91" t="n"/>
      <c r="P1524" s="91" t="n"/>
    </row>
    <row r="1525" ht="32" customHeight="1">
      <c r="A1525" s="92" t="n"/>
      <c r="B1525" s="92" t="n"/>
      <c r="C1525" s="92" t="n"/>
      <c r="D1525" s="92" t="n"/>
      <c r="E1525" s="92" t="n"/>
      <c r="F1525" s="96" t="n"/>
      <c r="G1525" s="96" t="n"/>
      <c r="H1525" s="92" t="n"/>
      <c r="I1525" s="92" t="n"/>
      <c r="J1525" s="92" t="n"/>
      <c r="K1525" s="92" t="n"/>
      <c r="L1525" s="92" t="n"/>
      <c r="M1525" s="97" t="n"/>
      <c r="N1525" s="92" t="n"/>
      <c r="O1525" s="92" t="n"/>
      <c r="P1525" s="92" t="n"/>
    </row>
    <row r="1526" ht="32" customHeight="1">
      <c r="A1526" s="91" t="n"/>
      <c r="B1526" s="91" t="n"/>
      <c r="C1526" s="91" t="n"/>
      <c r="D1526" s="91" t="n"/>
      <c r="E1526" s="91" t="n"/>
      <c r="F1526" s="94" t="n"/>
      <c r="G1526" s="94" t="n"/>
      <c r="H1526" s="91" t="n"/>
      <c r="I1526" s="91" t="n"/>
      <c r="J1526" s="91" t="n"/>
      <c r="K1526" s="91" t="n"/>
      <c r="L1526" s="91" t="n"/>
      <c r="M1526" s="95" t="n"/>
      <c r="N1526" s="91" t="n"/>
      <c r="O1526" s="91" t="n"/>
      <c r="P1526" s="91" t="n"/>
    </row>
    <row r="1527" ht="32" customHeight="1">
      <c r="A1527" s="92" t="n"/>
      <c r="B1527" s="92" t="n"/>
      <c r="C1527" s="92" t="n"/>
      <c r="D1527" s="92" t="n"/>
      <c r="E1527" s="92" t="n"/>
      <c r="F1527" s="96" t="n"/>
      <c r="G1527" s="96" t="n"/>
      <c r="H1527" s="92" t="n"/>
      <c r="I1527" s="92" t="n"/>
      <c r="J1527" s="92" t="n"/>
      <c r="K1527" s="92" t="n"/>
      <c r="L1527" s="92" t="n"/>
      <c r="M1527" s="97" t="n"/>
      <c r="N1527" s="92" t="n"/>
      <c r="O1527" s="92" t="n"/>
      <c r="P1527" s="92" t="n"/>
    </row>
    <row r="1528" ht="32" customHeight="1">
      <c r="A1528" s="91" t="n"/>
      <c r="B1528" s="91" t="n"/>
      <c r="C1528" s="91" t="n"/>
      <c r="D1528" s="91" t="n"/>
      <c r="E1528" s="91" t="n"/>
      <c r="F1528" s="94" t="n"/>
      <c r="G1528" s="94" t="n"/>
      <c r="H1528" s="91" t="n"/>
      <c r="I1528" s="91" t="n"/>
      <c r="J1528" s="91" t="n"/>
      <c r="K1528" s="91" t="n"/>
      <c r="L1528" s="91" t="n"/>
      <c r="M1528" s="95" t="n"/>
      <c r="N1528" s="91" t="n"/>
      <c r="O1528" s="91" t="n"/>
      <c r="P1528" s="91" t="n"/>
    </row>
    <row r="1529" ht="32" customHeight="1">
      <c r="A1529" s="92" t="n"/>
      <c r="B1529" s="92" t="n"/>
      <c r="C1529" s="92" t="n"/>
      <c r="D1529" s="92" t="n"/>
      <c r="E1529" s="92" t="n"/>
      <c r="F1529" s="96" t="n"/>
      <c r="G1529" s="96" t="n"/>
      <c r="H1529" s="92" t="n"/>
      <c r="I1529" s="92" t="n"/>
      <c r="J1529" s="92" t="n"/>
      <c r="K1529" s="92" t="n"/>
      <c r="L1529" s="92" t="n"/>
      <c r="M1529" s="97" t="n"/>
      <c r="N1529" s="92" t="n"/>
      <c r="O1529" s="92" t="n"/>
      <c r="P1529" s="92" t="n"/>
    </row>
    <row r="1530" ht="32" customHeight="1">
      <c r="A1530" s="91" t="n"/>
      <c r="B1530" s="91" t="n"/>
      <c r="C1530" s="91" t="n"/>
      <c r="D1530" s="91" t="n"/>
      <c r="E1530" s="91" t="n"/>
      <c r="F1530" s="94" t="n"/>
      <c r="G1530" s="94" t="n"/>
      <c r="H1530" s="91" t="n"/>
      <c r="I1530" s="91" t="n"/>
      <c r="J1530" s="91" t="n"/>
      <c r="K1530" s="91" t="n"/>
      <c r="L1530" s="91" t="n"/>
      <c r="M1530" s="95" t="n"/>
      <c r="N1530" s="91" t="n"/>
      <c r="O1530" s="91" t="n"/>
      <c r="P1530" s="91" t="n"/>
    </row>
    <row r="1531" ht="32" customHeight="1">
      <c r="A1531" s="92" t="n"/>
      <c r="B1531" s="92" t="n"/>
      <c r="C1531" s="92" t="n"/>
      <c r="D1531" s="92" t="n"/>
      <c r="E1531" s="92" t="n"/>
      <c r="F1531" s="96" t="n"/>
      <c r="G1531" s="96" t="n"/>
      <c r="H1531" s="92" t="n"/>
      <c r="I1531" s="92" t="n"/>
      <c r="J1531" s="92" t="n"/>
      <c r="K1531" s="92" t="n"/>
      <c r="L1531" s="92" t="n"/>
      <c r="M1531" s="97" t="n"/>
      <c r="N1531" s="92" t="n"/>
      <c r="O1531" s="92" t="n"/>
      <c r="P1531" s="92" t="n"/>
    </row>
    <row r="1532" ht="32" customHeight="1">
      <c r="A1532" s="91" t="n"/>
      <c r="B1532" s="91" t="n"/>
      <c r="C1532" s="91" t="n"/>
      <c r="D1532" s="91" t="n"/>
      <c r="E1532" s="91" t="n"/>
      <c r="F1532" s="94" t="n"/>
      <c r="G1532" s="94" t="n"/>
      <c r="H1532" s="91" t="n"/>
      <c r="I1532" s="91" t="n"/>
      <c r="J1532" s="91" t="n"/>
      <c r="K1532" s="91" t="n"/>
      <c r="L1532" s="91" t="n"/>
      <c r="M1532" s="95" t="n"/>
      <c r="N1532" s="91" t="n"/>
      <c r="O1532" s="91" t="n"/>
      <c r="P1532" s="91" t="n"/>
    </row>
    <row r="1533" ht="32" customHeight="1">
      <c r="A1533" s="92" t="n"/>
      <c r="B1533" s="92" t="n"/>
      <c r="C1533" s="92" t="n"/>
      <c r="D1533" s="92" t="n"/>
      <c r="E1533" s="92" t="n"/>
      <c r="F1533" s="96" t="n"/>
      <c r="G1533" s="96" t="n"/>
      <c r="H1533" s="92" t="n"/>
      <c r="I1533" s="92" t="n"/>
      <c r="J1533" s="92" t="n"/>
      <c r="K1533" s="92" t="n"/>
      <c r="L1533" s="92" t="n"/>
      <c r="M1533" s="97" t="n"/>
      <c r="N1533" s="92" t="n"/>
      <c r="O1533" s="92" t="n"/>
      <c r="P1533" s="92" t="n"/>
    </row>
    <row r="1534" ht="32" customHeight="1">
      <c r="A1534" s="91" t="n"/>
      <c r="B1534" s="91" t="n"/>
      <c r="C1534" s="91" t="n"/>
      <c r="D1534" s="91" t="n"/>
      <c r="E1534" s="91" t="n"/>
      <c r="F1534" s="94" t="n"/>
      <c r="G1534" s="94" t="n"/>
      <c r="H1534" s="91" t="n"/>
      <c r="I1534" s="91" t="n"/>
      <c r="J1534" s="91" t="n"/>
      <c r="K1534" s="91" t="n"/>
      <c r="L1534" s="91" t="n"/>
      <c r="M1534" s="95" t="n"/>
      <c r="N1534" s="91" t="n"/>
      <c r="O1534" s="91" t="n"/>
      <c r="P1534" s="91" t="n"/>
    </row>
    <row r="1535" ht="32" customHeight="1">
      <c r="A1535" s="92" t="n"/>
      <c r="B1535" s="92" t="n"/>
      <c r="C1535" s="92" t="n"/>
      <c r="D1535" s="92" t="n"/>
      <c r="E1535" s="92" t="n"/>
      <c r="F1535" s="96" t="n"/>
      <c r="G1535" s="96" t="n"/>
      <c r="H1535" s="92" t="n"/>
      <c r="I1535" s="92" t="n"/>
      <c r="J1535" s="92" t="n"/>
      <c r="K1535" s="92" t="n"/>
      <c r="L1535" s="92" t="n"/>
      <c r="M1535" s="97" t="n"/>
      <c r="N1535" s="92" t="n"/>
      <c r="O1535" s="92" t="n"/>
      <c r="P1535" s="92" t="n"/>
    </row>
    <row r="1536" ht="32" customHeight="1">
      <c r="A1536" s="91" t="n"/>
      <c r="B1536" s="91" t="n"/>
      <c r="C1536" s="91" t="n"/>
      <c r="D1536" s="91" t="n"/>
      <c r="E1536" s="91" t="n"/>
      <c r="F1536" s="94" t="n"/>
      <c r="G1536" s="94" t="n"/>
      <c r="H1536" s="91" t="n"/>
      <c r="I1536" s="91" t="n"/>
      <c r="J1536" s="91" t="n"/>
      <c r="K1536" s="91" t="n"/>
      <c r="L1536" s="91" t="n"/>
      <c r="M1536" s="95" t="n"/>
      <c r="N1536" s="91" t="n"/>
      <c r="O1536" s="91" t="n"/>
      <c r="P1536" s="91" t="n"/>
    </row>
    <row r="1537" ht="32" customHeight="1">
      <c r="A1537" s="92" t="n"/>
      <c r="B1537" s="92" t="n"/>
      <c r="C1537" s="92" t="n"/>
      <c r="D1537" s="92" t="n"/>
      <c r="E1537" s="92" t="n"/>
      <c r="F1537" s="96" t="n"/>
      <c r="G1537" s="96" t="n"/>
      <c r="H1537" s="92" t="n"/>
      <c r="I1537" s="92" t="n"/>
      <c r="J1537" s="92" t="n"/>
      <c r="K1537" s="92" t="n"/>
      <c r="L1537" s="92" t="n"/>
      <c r="M1537" s="97" t="n"/>
      <c r="N1537" s="92" t="n"/>
      <c r="O1537" s="92" t="n"/>
      <c r="P1537" s="92" t="n"/>
    </row>
    <row r="1538" ht="32" customHeight="1">
      <c r="A1538" s="91" t="n"/>
      <c r="B1538" s="91" t="n"/>
      <c r="C1538" s="91" t="n"/>
      <c r="D1538" s="91" t="n"/>
      <c r="E1538" s="91" t="n"/>
      <c r="F1538" s="94" t="n"/>
      <c r="G1538" s="94" t="n"/>
      <c r="H1538" s="91" t="n"/>
      <c r="I1538" s="91" t="n"/>
      <c r="J1538" s="91" t="n"/>
      <c r="K1538" s="91" t="n"/>
      <c r="L1538" s="91" t="n"/>
      <c r="M1538" s="95" t="n"/>
      <c r="N1538" s="91" t="n"/>
      <c r="O1538" s="91" t="n"/>
      <c r="P1538" s="91" t="n"/>
    </row>
    <row r="1539" ht="32" customHeight="1">
      <c r="A1539" s="92" t="n"/>
      <c r="B1539" s="92" t="n"/>
      <c r="C1539" s="92" t="n"/>
      <c r="D1539" s="92" t="n"/>
      <c r="E1539" s="92" t="n"/>
      <c r="F1539" s="96" t="n"/>
      <c r="G1539" s="96" t="n"/>
      <c r="H1539" s="92" t="n"/>
      <c r="I1539" s="92" t="n"/>
      <c r="J1539" s="92" t="n"/>
      <c r="K1539" s="92" t="n"/>
      <c r="L1539" s="92" t="n"/>
      <c r="M1539" s="97" t="n"/>
      <c r="N1539" s="92" t="n"/>
      <c r="O1539" s="92" t="n"/>
      <c r="P1539" s="92" t="n"/>
    </row>
    <row r="1540" ht="32" customHeight="1">
      <c r="A1540" s="91" t="n"/>
      <c r="B1540" s="91" t="n"/>
      <c r="C1540" s="91" t="n"/>
      <c r="D1540" s="91" t="n"/>
      <c r="E1540" s="91" t="n"/>
      <c r="F1540" s="94" t="n"/>
      <c r="G1540" s="94" t="n"/>
      <c r="H1540" s="91" t="n"/>
      <c r="I1540" s="91" t="n"/>
      <c r="J1540" s="91" t="n"/>
      <c r="K1540" s="91" t="n"/>
      <c r="L1540" s="91" t="n"/>
      <c r="M1540" s="95" t="n"/>
      <c r="N1540" s="91" t="n"/>
      <c r="O1540" s="91" t="n"/>
      <c r="P1540" s="91" t="n"/>
    </row>
    <row r="1541" ht="32" customHeight="1">
      <c r="A1541" s="92" t="n"/>
      <c r="B1541" s="92" t="n"/>
      <c r="C1541" s="92" t="n"/>
      <c r="D1541" s="92" t="n"/>
      <c r="E1541" s="92" t="n"/>
      <c r="F1541" s="96" t="n"/>
      <c r="G1541" s="96" t="n"/>
      <c r="H1541" s="92" t="n"/>
      <c r="I1541" s="92" t="n"/>
      <c r="J1541" s="92" t="n"/>
      <c r="K1541" s="92" t="n"/>
      <c r="L1541" s="92" t="n"/>
      <c r="M1541" s="97" t="n"/>
      <c r="N1541" s="92" t="n"/>
      <c r="O1541" s="92" t="n"/>
      <c r="P1541" s="92" t="n"/>
    </row>
    <row r="1542" ht="32" customHeight="1">
      <c r="A1542" s="91" t="n"/>
      <c r="B1542" s="91" t="n"/>
      <c r="C1542" s="91" t="n"/>
      <c r="D1542" s="91" t="n"/>
      <c r="E1542" s="91" t="n"/>
      <c r="F1542" s="94" t="n"/>
      <c r="G1542" s="94" t="n"/>
      <c r="H1542" s="91" t="n"/>
      <c r="I1542" s="91" t="n"/>
      <c r="J1542" s="91" t="n"/>
      <c r="K1542" s="91" t="n"/>
      <c r="L1542" s="91" t="n"/>
      <c r="M1542" s="95" t="n"/>
      <c r="N1542" s="91" t="n"/>
      <c r="O1542" s="91" t="n"/>
      <c r="P1542" s="91" t="n"/>
    </row>
    <row r="1543" ht="32" customHeight="1">
      <c r="A1543" s="92" t="n"/>
      <c r="B1543" s="92" t="n"/>
      <c r="C1543" s="92" t="n"/>
      <c r="D1543" s="92" t="n"/>
      <c r="E1543" s="92" t="n"/>
      <c r="F1543" s="96" t="n"/>
      <c r="G1543" s="96" t="n"/>
      <c r="H1543" s="92" t="n"/>
      <c r="I1543" s="92" t="n"/>
      <c r="J1543" s="92" t="n"/>
      <c r="K1543" s="92" t="n"/>
      <c r="L1543" s="92" t="n"/>
      <c r="M1543" s="97" t="n"/>
      <c r="N1543" s="92" t="n"/>
      <c r="O1543" s="92" t="n"/>
      <c r="P1543" s="92" t="n"/>
    </row>
    <row r="1544" ht="32" customHeight="1">
      <c r="A1544" s="91" t="n"/>
      <c r="B1544" s="91" t="n"/>
      <c r="C1544" s="91" t="n"/>
      <c r="D1544" s="91" t="n"/>
      <c r="E1544" s="91" t="n"/>
      <c r="F1544" s="94" t="n"/>
      <c r="G1544" s="94" t="n"/>
      <c r="H1544" s="91" t="n"/>
      <c r="I1544" s="91" t="n"/>
      <c r="J1544" s="91" t="n"/>
      <c r="K1544" s="91" t="n"/>
      <c r="L1544" s="91" t="n"/>
      <c r="M1544" s="95" t="n"/>
      <c r="N1544" s="91" t="n"/>
      <c r="O1544" s="91" t="n"/>
      <c r="P1544" s="91" t="n"/>
    </row>
    <row r="1545" ht="32" customHeight="1">
      <c r="A1545" s="92" t="n"/>
      <c r="B1545" s="92" t="n"/>
      <c r="C1545" s="92" t="n"/>
      <c r="D1545" s="92" t="n"/>
      <c r="E1545" s="92" t="n"/>
      <c r="F1545" s="96" t="n"/>
      <c r="G1545" s="96" t="n"/>
      <c r="H1545" s="92" t="n"/>
      <c r="I1545" s="92" t="n"/>
      <c r="J1545" s="92" t="n"/>
      <c r="K1545" s="92" t="n"/>
      <c r="L1545" s="92" t="n"/>
      <c r="M1545" s="97" t="n"/>
      <c r="N1545" s="92" t="n"/>
      <c r="O1545" s="92" t="n"/>
      <c r="P1545" s="92" t="n"/>
    </row>
    <row r="1546" ht="32" customHeight="1">
      <c r="A1546" s="91" t="n"/>
      <c r="B1546" s="91" t="n"/>
      <c r="C1546" s="91" t="n"/>
      <c r="D1546" s="91" t="n"/>
      <c r="E1546" s="91" t="n"/>
      <c r="F1546" s="94" t="n"/>
      <c r="G1546" s="94" t="n"/>
      <c r="H1546" s="91" t="n"/>
      <c r="I1546" s="91" t="n"/>
      <c r="J1546" s="91" t="n"/>
      <c r="K1546" s="91" t="n"/>
      <c r="L1546" s="91" t="n"/>
      <c r="M1546" s="95" t="n"/>
      <c r="N1546" s="91" t="n"/>
      <c r="O1546" s="91" t="n"/>
      <c r="P1546" s="91" t="n"/>
    </row>
    <row r="1547" ht="32" customHeight="1">
      <c r="A1547" s="92" t="n"/>
      <c r="B1547" s="92" t="n"/>
      <c r="C1547" s="92" t="n"/>
      <c r="D1547" s="92" t="n"/>
      <c r="E1547" s="92" t="n"/>
      <c r="F1547" s="96" t="n"/>
      <c r="G1547" s="96" t="n"/>
      <c r="H1547" s="92" t="n"/>
      <c r="I1547" s="92" t="n"/>
      <c r="J1547" s="92" t="n"/>
      <c r="K1547" s="92" t="n"/>
      <c r="L1547" s="92" t="n"/>
      <c r="M1547" s="97" t="n"/>
      <c r="N1547" s="92" t="n"/>
      <c r="O1547" s="92" t="n"/>
      <c r="P1547" s="92" t="n"/>
    </row>
    <row r="1548" ht="32" customHeight="1">
      <c r="A1548" s="91" t="n"/>
      <c r="B1548" s="91" t="n"/>
      <c r="C1548" s="91" t="n"/>
      <c r="D1548" s="91" t="n"/>
      <c r="E1548" s="91" t="n"/>
      <c r="F1548" s="94" t="n"/>
      <c r="G1548" s="94" t="n"/>
      <c r="H1548" s="91" t="n"/>
      <c r="I1548" s="91" t="n"/>
      <c r="J1548" s="91" t="n"/>
      <c r="K1548" s="91" t="n"/>
      <c r="L1548" s="91" t="n"/>
      <c r="M1548" s="95" t="n"/>
      <c r="N1548" s="91" t="n"/>
      <c r="O1548" s="91" t="n"/>
      <c r="P1548" s="91" t="n"/>
    </row>
    <row r="1549" ht="32" customHeight="1">
      <c r="A1549" s="92" t="n"/>
      <c r="B1549" s="92" t="n"/>
      <c r="C1549" s="92" t="n"/>
      <c r="D1549" s="92" t="n"/>
      <c r="E1549" s="92" t="n"/>
      <c r="F1549" s="96" t="n"/>
      <c r="G1549" s="96" t="n"/>
      <c r="H1549" s="92" t="n"/>
      <c r="I1549" s="92" t="n"/>
      <c r="J1549" s="92" t="n"/>
      <c r="K1549" s="92" t="n"/>
      <c r="L1549" s="92" t="n"/>
      <c r="M1549" s="97" t="n"/>
      <c r="N1549" s="92" t="n"/>
      <c r="O1549" s="92" t="n"/>
      <c r="P1549" s="92" t="n"/>
    </row>
    <row r="1550" ht="32" customHeight="1">
      <c r="A1550" s="91" t="n"/>
      <c r="B1550" s="91" t="n"/>
      <c r="C1550" s="91" t="n"/>
      <c r="D1550" s="91" t="n"/>
      <c r="E1550" s="91" t="n"/>
      <c r="F1550" s="94" t="n"/>
      <c r="G1550" s="94" t="n"/>
      <c r="H1550" s="91" t="n"/>
      <c r="I1550" s="91" t="n"/>
      <c r="J1550" s="91" t="n"/>
      <c r="K1550" s="91" t="n"/>
      <c r="L1550" s="91" t="n"/>
      <c r="M1550" s="95" t="n"/>
      <c r="N1550" s="91" t="n"/>
      <c r="O1550" s="91" t="n"/>
      <c r="P1550" s="91" t="n"/>
    </row>
    <row r="1551" ht="32" customHeight="1">
      <c r="A1551" s="92" t="n"/>
      <c r="B1551" s="92" t="n"/>
      <c r="C1551" s="92" t="n"/>
      <c r="D1551" s="92" t="n"/>
      <c r="E1551" s="92" t="n"/>
      <c r="F1551" s="96" t="n"/>
      <c r="G1551" s="96" t="n"/>
      <c r="H1551" s="92" t="n"/>
      <c r="I1551" s="92" t="n"/>
      <c r="J1551" s="92" t="n"/>
      <c r="K1551" s="92" t="n"/>
      <c r="L1551" s="92" t="n"/>
      <c r="M1551" s="97" t="n"/>
      <c r="N1551" s="92" t="n"/>
      <c r="O1551" s="92" t="n"/>
      <c r="P1551" s="92" t="n"/>
    </row>
    <row r="1552" ht="32" customHeight="1">
      <c r="A1552" s="91" t="n"/>
      <c r="B1552" s="91" t="n"/>
      <c r="C1552" s="91" t="n"/>
      <c r="D1552" s="91" t="n"/>
      <c r="E1552" s="91" t="n"/>
      <c r="F1552" s="94" t="n"/>
      <c r="G1552" s="94" t="n"/>
      <c r="H1552" s="91" t="n"/>
      <c r="I1552" s="91" t="n"/>
      <c r="J1552" s="91" t="n"/>
      <c r="K1552" s="91" t="n"/>
      <c r="L1552" s="91" t="n"/>
      <c r="M1552" s="95" t="n"/>
      <c r="N1552" s="91" t="n"/>
      <c r="O1552" s="91" t="n"/>
      <c r="P1552" s="91" t="n"/>
    </row>
    <row r="1553" ht="32" customHeight="1">
      <c r="A1553" s="92" t="n"/>
      <c r="B1553" s="92" t="n"/>
      <c r="C1553" s="92" t="n"/>
      <c r="D1553" s="92" t="n"/>
      <c r="E1553" s="92" t="n"/>
      <c r="F1553" s="96" t="n"/>
      <c r="G1553" s="96" t="n"/>
      <c r="H1553" s="92" t="n"/>
      <c r="I1553" s="92" t="n"/>
      <c r="J1553" s="92" t="n"/>
      <c r="K1553" s="92" t="n"/>
      <c r="L1553" s="92" t="n"/>
      <c r="M1553" s="97" t="n"/>
      <c r="N1553" s="92" t="n"/>
      <c r="O1553" s="92" t="n"/>
      <c r="P1553" s="92" t="n"/>
    </row>
    <row r="1554" ht="32" customHeight="1">
      <c r="A1554" s="91" t="n"/>
      <c r="B1554" s="91" t="n"/>
      <c r="C1554" s="91" t="n"/>
      <c r="D1554" s="91" t="n"/>
      <c r="E1554" s="91" t="n"/>
      <c r="F1554" s="94" t="n"/>
      <c r="G1554" s="94" t="n"/>
      <c r="H1554" s="91" t="n"/>
      <c r="I1554" s="91" t="n"/>
      <c r="J1554" s="91" t="n"/>
      <c r="K1554" s="91" t="n"/>
      <c r="L1554" s="91" t="n"/>
      <c r="M1554" s="95" t="n"/>
      <c r="N1554" s="91" t="n"/>
      <c r="O1554" s="91" t="n"/>
      <c r="P1554" s="91" t="n"/>
    </row>
    <row r="1555" ht="32" customHeight="1">
      <c r="A1555" s="92" t="n"/>
      <c r="B1555" s="92" t="n"/>
      <c r="C1555" s="92" t="n"/>
      <c r="D1555" s="92" t="n"/>
      <c r="E1555" s="92" t="n"/>
      <c r="F1555" s="96" t="n"/>
      <c r="G1555" s="96" t="n"/>
      <c r="H1555" s="92" t="n"/>
      <c r="I1555" s="92" t="n"/>
      <c r="J1555" s="92" t="n"/>
      <c r="K1555" s="92" t="n"/>
      <c r="L1555" s="92" t="n"/>
      <c r="M1555" s="97" t="n"/>
      <c r="N1555" s="92" t="n"/>
      <c r="O1555" s="92" t="n"/>
      <c r="P1555" s="92" t="n"/>
    </row>
    <row r="1556" ht="32" customHeight="1">
      <c r="A1556" s="91" t="n"/>
      <c r="B1556" s="91" t="n"/>
      <c r="C1556" s="91" t="n"/>
      <c r="D1556" s="91" t="n"/>
      <c r="E1556" s="91" t="n"/>
      <c r="F1556" s="94" t="n"/>
      <c r="G1556" s="94" t="n"/>
      <c r="H1556" s="91" t="n"/>
      <c r="I1556" s="91" t="n"/>
      <c r="J1556" s="91" t="n"/>
      <c r="K1556" s="91" t="n"/>
      <c r="L1556" s="91" t="n"/>
      <c r="M1556" s="95" t="n"/>
      <c r="N1556" s="91" t="n"/>
      <c r="O1556" s="91" t="n"/>
      <c r="P1556" s="91" t="n"/>
    </row>
    <row r="1557" ht="32" customHeight="1">
      <c r="A1557" s="92" t="n"/>
      <c r="B1557" s="92" t="n"/>
      <c r="C1557" s="92" t="n"/>
      <c r="D1557" s="92" t="n"/>
      <c r="E1557" s="92" t="n"/>
      <c r="F1557" s="96" t="n"/>
      <c r="G1557" s="96" t="n"/>
      <c r="H1557" s="92" t="n"/>
      <c r="I1557" s="92" t="n"/>
      <c r="J1557" s="92" t="n"/>
      <c r="K1557" s="92" t="n"/>
      <c r="L1557" s="92" t="n"/>
      <c r="M1557" s="97" t="n"/>
      <c r="N1557" s="92" t="n"/>
      <c r="O1557" s="92" t="n"/>
      <c r="P1557" s="92" t="n"/>
    </row>
    <row r="1558" ht="32" customHeight="1">
      <c r="A1558" s="91" t="n"/>
      <c r="B1558" s="91" t="n"/>
      <c r="C1558" s="91" t="n"/>
      <c r="D1558" s="91" t="n"/>
      <c r="E1558" s="91" t="n"/>
      <c r="F1558" s="94" t="n"/>
      <c r="G1558" s="94" t="n"/>
      <c r="H1558" s="91" t="n"/>
      <c r="I1558" s="91" t="n"/>
      <c r="J1558" s="91" t="n"/>
      <c r="K1558" s="91" t="n"/>
      <c r="L1558" s="91" t="n"/>
      <c r="M1558" s="95" t="n"/>
      <c r="N1558" s="91" t="n"/>
      <c r="O1558" s="91" t="n"/>
      <c r="P1558" s="91" t="n"/>
    </row>
    <row r="1559" ht="32" customHeight="1">
      <c r="A1559" s="92" t="n"/>
      <c r="B1559" s="92" t="n"/>
      <c r="C1559" s="92" t="n"/>
      <c r="D1559" s="92" t="n"/>
      <c r="E1559" s="92" t="n"/>
      <c r="F1559" s="96" t="n"/>
      <c r="G1559" s="96" t="n"/>
      <c r="H1559" s="92" t="n"/>
      <c r="I1559" s="92" t="n"/>
      <c r="J1559" s="92" t="n"/>
      <c r="K1559" s="92" t="n"/>
      <c r="L1559" s="92" t="n"/>
      <c r="M1559" s="97" t="n"/>
      <c r="N1559" s="92" t="n"/>
      <c r="O1559" s="92" t="n"/>
      <c r="P1559" s="92" t="n"/>
    </row>
    <row r="1560" ht="32" customHeight="1">
      <c r="A1560" s="91" t="n"/>
      <c r="B1560" s="91" t="n"/>
      <c r="C1560" s="91" t="n"/>
      <c r="D1560" s="91" t="n"/>
      <c r="E1560" s="91" t="n"/>
      <c r="F1560" s="94" t="n"/>
      <c r="G1560" s="94" t="n"/>
      <c r="H1560" s="91" t="n"/>
      <c r="I1560" s="91" t="n"/>
      <c r="J1560" s="91" t="n"/>
      <c r="K1560" s="91" t="n"/>
      <c r="L1560" s="91" t="n"/>
      <c r="M1560" s="95" t="n"/>
      <c r="N1560" s="91" t="n"/>
      <c r="O1560" s="91" t="n"/>
      <c r="P1560" s="91" t="n"/>
    </row>
    <row r="1561" ht="32" customHeight="1">
      <c r="A1561" s="92" t="n"/>
      <c r="B1561" s="92" t="n"/>
      <c r="C1561" s="92" t="n"/>
      <c r="D1561" s="92" t="n"/>
      <c r="E1561" s="92" t="n"/>
      <c r="F1561" s="96" t="n"/>
      <c r="G1561" s="96" t="n"/>
      <c r="H1561" s="92" t="n"/>
      <c r="I1561" s="92" t="n"/>
      <c r="J1561" s="92" t="n"/>
      <c r="K1561" s="92" t="n"/>
      <c r="L1561" s="92" t="n"/>
      <c r="M1561" s="97" t="n"/>
      <c r="N1561" s="92" t="n"/>
      <c r="O1561" s="92" t="n"/>
      <c r="P1561" s="92" t="n"/>
    </row>
    <row r="1562" ht="32" customHeight="1">
      <c r="A1562" s="91" t="n"/>
      <c r="B1562" s="91" t="n"/>
      <c r="C1562" s="91" t="n"/>
      <c r="D1562" s="91" t="n"/>
      <c r="E1562" s="91" t="n"/>
      <c r="F1562" s="94" t="n"/>
      <c r="G1562" s="94" t="n"/>
      <c r="H1562" s="91" t="n"/>
      <c r="I1562" s="91" t="n"/>
      <c r="J1562" s="91" t="n"/>
      <c r="K1562" s="91" t="n"/>
      <c r="L1562" s="91" t="n"/>
      <c r="M1562" s="95" t="n"/>
      <c r="N1562" s="91" t="n"/>
      <c r="O1562" s="91" t="n"/>
      <c r="P1562" s="91" t="n"/>
    </row>
    <row r="1563" ht="32" customHeight="1">
      <c r="A1563" s="92" t="n"/>
      <c r="B1563" s="92" t="n"/>
      <c r="C1563" s="92" t="n"/>
      <c r="D1563" s="92" t="n"/>
      <c r="E1563" s="92" t="n"/>
      <c r="F1563" s="96" t="n"/>
      <c r="G1563" s="96" t="n"/>
      <c r="H1563" s="92" t="n"/>
      <c r="I1563" s="92" t="n"/>
      <c r="J1563" s="92" t="n"/>
      <c r="K1563" s="92" t="n"/>
      <c r="L1563" s="92" t="n"/>
      <c r="M1563" s="97" t="n"/>
      <c r="N1563" s="92" t="n"/>
      <c r="O1563" s="92" t="n"/>
      <c r="P1563" s="92" t="n"/>
    </row>
    <row r="1564" ht="32" customHeight="1">
      <c r="A1564" s="91" t="n"/>
      <c r="B1564" s="91" t="n"/>
      <c r="C1564" s="91" t="n"/>
      <c r="D1564" s="91" t="n"/>
      <c r="E1564" s="91" t="n"/>
      <c r="F1564" s="94" t="n"/>
      <c r="G1564" s="94" t="n"/>
      <c r="H1564" s="91" t="n"/>
      <c r="I1564" s="91" t="n"/>
      <c r="J1564" s="91" t="n"/>
      <c r="K1564" s="91" t="n"/>
      <c r="L1564" s="91" t="n"/>
      <c r="M1564" s="95" t="n"/>
      <c r="N1564" s="91" t="n"/>
      <c r="O1564" s="91" t="n"/>
      <c r="P1564" s="91" t="n"/>
    </row>
    <row r="1565" ht="32" customHeight="1">
      <c r="A1565" s="92" t="n"/>
      <c r="B1565" s="92" t="n"/>
      <c r="C1565" s="92" t="n"/>
      <c r="D1565" s="92" t="n"/>
      <c r="E1565" s="92" t="n"/>
      <c r="F1565" s="96" t="n"/>
      <c r="G1565" s="96" t="n"/>
      <c r="H1565" s="92" t="n"/>
      <c r="I1565" s="92" t="n"/>
      <c r="J1565" s="92" t="n"/>
      <c r="K1565" s="92" t="n"/>
      <c r="L1565" s="92" t="n"/>
      <c r="M1565" s="97" t="n"/>
      <c r="N1565" s="92" t="n"/>
      <c r="O1565" s="92" t="n"/>
      <c r="P1565" s="92" t="n"/>
    </row>
    <row r="1566" ht="32" customHeight="1">
      <c r="A1566" s="91" t="n"/>
      <c r="B1566" s="91" t="n"/>
      <c r="C1566" s="91" t="n"/>
      <c r="D1566" s="91" t="n"/>
      <c r="E1566" s="91" t="n"/>
      <c r="F1566" s="94" t="n"/>
      <c r="G1566" s="94" t="n"/>
      <c r="H1566" s="91" t="n"/>
      <c r="I1566" s="91" t="n"/>
      <c r="J1566" s="91" t="n"/>
      <c r="K1566" s="91" t="n"/>
      <c r="L1566" s="91" t="n"/>
      <c r="M1566" s="95" t="n"/>
      <c r="N1566" s="91" t="n"/>
      <c r="O1566" s="91" t="n"/>
      <c r="P1566" s="91" t="n"/>
    </row>
    <row r="1567" ht="32" customHeight="1">
      <c r="A1567" s="92" t="n"/>
      <c r="B1567" s="92" t="n"/>
      <c r="C1567" s="92" t="n"/>
      <c r="D1567" s="92" t="n"/>
      <c r="E1567" s="92" t="n"/>
      <c r="F1567" s="96" t="n"/>
      <c r="G1567" s="96" t="n"/>
      <c r="H1567" s="92" t="n"/>
      <c r="I1567" s="92" t="n"/>
      <c r="J1567" s="92" t="n"/>
      <c r="K1567" s="92" t="n"/>
      <c r="L1567" s="92" t="n"/>
      <c r="M1567" s="97" t="n"/>
      <c r="N1567" s="92" t="n"/>
      <c r="O1567" s="92" t="n"/>
      <c r="P1567" s="92" t="n"/>
    </row>
    <row r="1568" ht="32" customHeight="1">
      <c r="A1568" s="91" t="n"/>
      <c r="B1568" s="91" t="n"/>
      <c r="C1568" s="91" t="n"/>
      <c r="D1568" s="91" t="n"/>
      <c r="E1568" s="91" t="n"/>
      <c r="F1568" s="94" t="n"/>
      <c r="G1568" s="94" t="n"/>
      <c r="H1568" s="91" t="n"/>
      <c r="I1568" s="91" t="n"/>
      <c r="J1568" s="91" t="n"/>
      <c r="K1568" s="91" t="n"/>
      <c r="L1568" s="91" t="n"/>
      <c r="M1568" s="95" t="n"/>
      <c r="N1568" s="91" t="n"/>
      <c r="O1568" s="91" t="n"/>
      <c r="P1568" s="91" t="n"/>
    </row>
    <row r="1569" ht="32" customHeight="1">
      <c r="A1569" s="92" t="n"/>
      <c r="B1569" s="92" t="n"/>
      <c r="C1569" s="92" t="n"/>
      <c r="D1569" s="92" t="n"/>
      <c r="E1569" s="92" t="n"/>
      <c r="F1569" s="96" t="n"/>
      <c r="G1569" s="96" t="n"/>
      <c r="H1569" s="92" t="n"/>
      <c r="I1569" s="92" t="n"/>
      <c r="J1569" s="92" t="n"/>
      <c r="K1569" s="92" t="n"/>
      <c r="L1569" s="92" t="n"/>
      <c r="M1569" s="97" t="n"/>
      <c r="N1569" s="92" t="n"/>
      <c r="O1569" s="92" t="n"/>
      <c r="P1569" s="92" t="n"/>
    </row>
    <row r="1570" ht="32" customHeight="1">
      <c r="A1570" s="91" t="n"/>
      <c r="B1570" s="91" t="n"/>
      <c r="C1570" s="91" t="n"/>
      <c r="D1570" s="91" t="n"/>
      <c r="E1570" s="91" t="n"/>
      <c r="F1570" s="94" t="n"/>
      <c r="G1570" s="94" t="n"/>
      <c r="H1570" s="91" t="n"/>
      <c r="I1570" s="91" t="n"/>
      <c r="J1570" s="91" t="n"/>
      <c r="K1570" s="91" t="n"/>
      <c r="L1570" s="91" t="n"/>
      <c r="M1570" s="95" t="n"/>
      <c r="N1570" s="91" t="n"/>
      <c r="O1570" s="91" t="n"/>
      <c r="P1570" s="91" t="n"/>
    </row>
    <row r="1571" ht="32" customHeight="1">
      <c r="A1571" s="92" t="n"/>
      <c r="B1571" s="92" t="n"/>
      <c r="C1571" s="92" t="n"/>
      <c r="D1571" s="92" t="n"/>
      <c r="E1571" s="92" t="n"/>
      <c r="F1571" s="96" t="n"/>
      <c r="G1571" s="96" t="n"/>
      <c r="H1571" s="92" t="n"/>
      <c r="I1571" s="92" t="n"/>
      <c r="J1571" s="92" t="n"/>
      <c r="K1571" s="92" t="n"/>
      <c r="L1571" s="92" t="n"/>
      <c r="M1571" s="97" t="n"/>
      <c r="N1571" s="92" t="n"/>
      <c r="O1571" s="92" t="n"/>
      <c r="P1571" s="92" t="n"/>
    </row>
    <row r="1572" ht="32" customHeight="1">
      <c r="A1572" s="91" t="n"/>
      <c r="B1572" s="91" t="n"/>
      <c r="C1572" s="91" t="n"/>
      <c r="D1572" s="91" t="n"/>
      <c r="E1572" s="91" t="n"/>
      <c r="F1572" s="94" t="n"/>
      <c r="G1572" s="94" t="n"/>
      <c r="H1572" s="91" t="n"/>
      <c r="I1572" s="91" t="n"/>
      <c r="J1572" s="91" t="n"/>
      <c r="K1572" s="91" t="n"/>
      <c r="L1572" s="91" t="n"/>
      <c r="M1572" s="95" t="n"/>
      <c r="N1572" s="91" t="n"/>
      <c r="O1572" s="91" t="n"/>
      <c r="P1572" s="91" t="n"/>
    </row>
    <row r="1573" ht="32" customHeight="1">
      <c r="A1573" s="92" t="n"/>
      <c r="B1573" s="92" t="n"/>
      <c r="C1573" s="92" t="n"/>
      <c r="D1573" s="92" t="n"/>
      <c r="E1573" s="92" t="n"/>
      <c r="F1573" s="96" t="n"/>
      <c r="G1573" s="96" t="n"/>
      <c r="H1573" s="92" t="n"/>
      <c r="I1573" s="92" t="n"/>
      <c r="J1573" s="92" t="n"/>
      <c r="K1573" s="92" t="n"/>
      <c r="L1573" s="92" t="n"/>
      <c r="M1573" s="97" t="n"/>
      <c r="N1573" s="92" t="n"/>
      <c r="O1573" s="92" t="n"/>
      <c r="P1573" s="92" t="n"/>
    </row>
    <row r="1574" ht="32" customHeight="1">
      <c r="A1574" s="91" t="n"/>
      <c r="B1574" s="91" t="n"/>
      <c r="C1574" s="91" t="n"/>
      <c r="D1574" s="91" t="n"/>
      <c r="E1574" s="91" t="n"/>
      <c r="F1574" s="94" t="n"/>
      <c r="G1574" s="94" t="n"/>
      <c r="H1574" s="91" t="n"/>
      <c r="I1574" s="91" t="n"/>
      <c r="J1574" s="91" t="n"/>
      <c r="K1574" s="91" t="n"/>
      <c r="L1574" s="91" t="n"/>
      <c r="M1574" s="95" t="n"/>
      <c r="N1574" s="91" t="n"/>
      <c r="O1574" s="91" t="n"/>
      <c r="P1574" s="91" t="n"/>
    </row>
    <row r="1575" ht="32" customHeight="1">
      <c r="A1575" s="92" t="n"/>
      <c r="B1575" s="92" t="n"/>
      <c r="C1575" s="92" t="n"/>
      <c r="D1575" s="92" t="n"/>
      <c r="E1575" s="92" t="n"/>
      <c r="F1575" s="96" t="n"/>
      <c r="G1575" s="96" t="n"/>
      <c r="H1575" s="92" t="n"/>
      <c r="I1575" s="92" t="n"/>
      <c r="J1575" s="92" t="n"/>
      <c r="K1575" s="92" t="n"/>
      <c r="L1575" s="92" t="n"/>
      <c r="M1575" s="97" t="n"/>
      <c r="N1575" s="92" t="n"/>
      <c r="O1575" s="92" t="n"/>
      <c r="P1575" s="92" t="n"/>
    </row>
    <row r="1576" ht="32" customHeight="1">
      <c r="A1576" s="91" t="n"/>
      <c r="B1576" s="91" t="n"/>
      <c r="C1576" s="91" t="n"/>
      <c r="D1576" s="91" t="n"/>
      <c r="E1576" s="91" t="n"/>
      <c r="F1576" s="94" t="n"/>
      <c r="G1576" s="94" t="n"/>
      <c r="H1576" s="91" t="n"/>
      <c r="I1576" s="91" t="n"/>
      <c r="J1576" s="91" t="n"/>
      <c r="K1576" s="91" t="n"/>
      <c r="L1576" s="91" t="n"/>
      <c r="M1576" s="95" t="n"/>
      <c r="N1576" s="91" t="n"/>
      <c r="O1576" s="91" t="n"/>
      <c r="P1576" s="91" t="n"/>
    </row>
    <row r="1577" ht="32" customHeight="1">
      <c r="A1577" s="92" t="n"/>
      <c r="B1577" s="92" t="n"/>
      <c r="C1577" s="92" t="n"/>
      <c r="D1577" s="92" t="n"/>
      <c r="E1577" s="92" t="n"/>
      <c r="F1577" s="96" t="n"/>
      <c r="G1577" s="96" t="n"/>
      <c r="H1577" s="92" t="n"/>
      <c r="I1577" s="92" t="n"/>
      <c r="J1577" s="92" t="n"/>
      <c r="K1577" s="92" t="n"/>
      <c r="L1577" s="92" t="n"/>
      <c r="M1577" s="97" t="n"/>
      <c r="N1577" s="92" t="n"/>
      <c r="O1577" s="92" t="n"/>
      <c r="P1577" s="92" t="n"/>
    </row>
    <row r="1578" ht="32" customHeight="1">
      <c r="A1578" s="91" t="n"/>
      <c r="B1578" s="91" t="n"/>
      <c r="C1578" s="91" t="n"/>
      <c r="D1578" s="91" t="n"/>
      <c r="E1578" s="91" t="n"/>
      <c r="F1578" s="94" t="n"/>
      <c r="G1578" s="94" t="n"/>
      <c r="H1578" s="91" t="n"/>
      <c r="I1578" s="91" t="n"/>
      <c r="J1578" s="91" t="n"/>
      <c r="K1578" s="91" t="n"/>
      <c r="L1578" s="91" t="n"/>
      <c r="M1578" s="95" t="n"/>
      <c r="N1578" s="91" t="n"/>
      <c r="O1578" s="91" t="n"/>
      <c r="P1578" s="91" t="n"/>
    </row>
    <row r="1579" ht="32" customHeight="1">
      <c r="A1579" s="92" t="n"/>
      <c r="B1579" s="92" t="n"/>
      <c r="C1579" s="92" t="n"/>
      <c r="D1579" s="92" t="n"/>
      <c r="E1579" s="92" t="n"/>
      <c r="F1579" s="96" t="n"/>
      <c r="G1579" s="96" t="n"/>
      <c r="H1579" s="92" t="n"/>
      <c r="I1579" s="92" t="n"/>
      <c r="J1579" s="92" t="n"/>
      <c r="K1579" s="92" t="n"/>
      <c r="L1579" s="92" t="n"/>
      <c r="M1579" s="97" t="n"/>
      <c r="N1579" s="92" t="n"/>
      <c r="O1579" s="92" t="n"/>
      <c r="P1579" s="92" t="n"/>
    </row>
    <row r="1580" ht="32" customHeight="1">
      <c r="A1580" s="91" t="n"/>
      <c r="B1580" s="91" t="n"/>
      <c r="C1580" s="91" t="n"/>
      <c r="D1580" s="91" t="n"/>
      <c r="E1580" s="91" t="n"/>
      <c r="F1580" s="94" t="n"/>
      <c r="G1580" s="94" t="n"/>
      <c r="H1580" s="91" t="n"/>
      <c r="I1580" s="91" t="n"/>
      <c r="J1580" s="91" t="n"/>
      <c r="K1580" s="91" t="n"/>
      <c r="L1580" s="91" t="n"/>
      <c r="M1580" s="95" t="n"/>
      <c r="N1580" s="91" t="n"/>
      <c r="O1580" s="91" t="n"/>
      <c r="P1580" s="91" t="n"/>
    </row>
    <row r="1581" ht="32" customHeight="1">
      <c r="A1581" s="92" t="n"/>
      <c r="B1581" s="92" t="n"/>
      <c r="C1581" s="92" t="n"/>
      <c r="D1581" s="92" t="n"/>
      <c r="E1581" s="92" t="n"/>
      <c r="F1581" s="96" t="n"/>
      <c r="G1581" s="96" t="n"/>
      <c r="H1581" s="92" t="n"/>
      <c r="I1581" s="92" t="n"/>
      <c r="J1581" s="92" t="n"/>
      <c r="K1581" s="92" t="n"/>
      <c r="L1581" s="92" t="n"/>
      <c r="M1581" s="97" t="n"/>
      <c r="N1581" s="92" t="n"/>
      <c r="O1581" s="92" t="n"/>
      <c r="P1581" s="92" t="n"/>
    </row>
    <row r="1582" ht="32" customHeight="1">
      <c r="A1582" s="91" t="n"/>
      <c r="B1582" s="91" t="n"/>
      <c r="C1582" s="91" t="n"/>
      <c r="D1582" s="91" t="n"/>
      <c r="E1582" s="91" t="n"/>
      <c r="F1582" s="94" t="n"/>
      <c r="G1582" s="94" t="n"/>
      <c r="H1582" s="91" t="n"/>
      <c r="I1582" s="91" t="n"/>
      <c r="J1582" s="91" t="n"/>
      <c r="K1582" s="91" t="n"/>
      <c r="L1582" s="91" t="n"/>
      <c r="M1582" s="95" t="n"/>
      <c r="N1582" s="91" t="n"/>
      <c r="O1582" s="91" t="n"/>
      <c r="P1582" s="91" t="n"/>
    </row>
    <row r="1583" ht="32" customHeight="1">
      <c r="A1583" s="92" t="n"/>
      <c r="B1583" s="92" t="n"/>
      <c r="C1583" s="92" t="n"/>
      <c r="D1583" s="92" t="n"/>
      <c r="E1583" s="92" t="n"/>
      <c r="F1583" s="96" t="n"/>
      <c r="G1583" s="96" t="n"/>
      <c r="H1583" s="92" t="n"/>
      <c r="I1583" s="92" t="n"/>
      <c r="J1583" s="92" t="n"/>
      <c r="K1583" s="92" t="n"/>
      <c r="L1583" s="92" t="n"/>
      <c r="M1583" s="97" t="n"/>
      <c r="N1583" s="92" t="n"/>
      <c r="O1583" s="92" t="n"/>
      <c r="P1583" s="92" t="n"/>
    </row>
    <row r="1584" ht="32" customHeight="1">
      <c r="A1584" s="91" t="n"/>
      <c r="B1584" s="91" t="n"/>
      <c r="C1584" s="91" t="n"/>
      <c r="D1584" s="91" t="n"/>
      <c r="E1584" s="91" t="n"/>
      <c r="F1584" s="94" t="n"/>
      <c r="G1584" s="94" t="n"/>
      <c r="H1584" s="91" t="n"/>
      <c r="I1584" s="91" t="n"/>
      <c r="J1584" s="91" t="n"/>
      <c r="K1584" s="91" t="n"/>
      <c r="L1584" s="91" t="n"/>
      <c r="M1584" s="95" t="n"/>
      <c r="N1584" s="91" t="n"/>
      <c r="O1584" s="91" t="n"/>
      <c r="P1584" s="91" t="n"/>
    </row>
    <row r="1585" ht="32" customHeight="1">
      <c r="A1585" s="92" t="n"/>
      <c r="B1585" s="92" t="n"/>
      <c r="C1585" s="92" t="n"/>
      <c r="D1585" s="92" t="n"/>
      <c r="E1585" s="92" t="n"/>
      <c r="F1585" s="96" t="n"/>
      <c r="G1585" s="96" t="n"/>
      <c r="H1585" s="92" t="n"/>
      <c r="I1585" s="92" t="n"/>
      <c r="J1585" s="92" t="n"/>
      <c r="K1585" s="92" t="n"/>
      <c r="L1585" s="92" t="n"/>
      <c r="M1585" s="97" t="n"/>
      <c r="N1585" s="92" t="n"/>
      <c r="O1585" s="92" t="n"/>
      <c r="P1585" s="92" t="n"/>
    </row>
    <row r="1586" ht="32" customHeight="1">
      <c r="A1586" s="91" t="n"/>
      <c r="B1586" s="91" t="n"/>
      <c r="C1586" s="91" t="n"/>
      <c r="D1586" s="91" t="n"/>
      <c r="E1586" s="91" t="n"/>
      <c r="F1586" s="94" t="n"/>
      <c r="G1586" s="94" t="n"/>
      <c r="H1586" s="91" t="n"/>
      <c r="I1586" s="91" t="n"/>
      <c r="J1586" s="91" t="n"/>
      <c r="K1586" s="91" t="n"/>
      <c r="L1586" s="91" t="n"/>
      <c r="M1586" s="95" t="n"/>
      <c r="N1586" s="91" t="n"/>
      <c r="O1586" s="91" t="n"/>
      <c r="P1586" s="91" t="n"/>
    </row>
    <row r="1587" ht="32" customHeight="1">
      <c r="A1587" s="92" t="n"/>
      <c r="B1587" s="92" t="n"/>
      <c r="C1587" s="92" t="n"/>
      <c r="D1587" s="92" t="n"/>
      <c r="E1587" s="92" t="n"/>
      <c r="F1587" s="96" t="n"/>
      <c r="G1587" s="96" t="n"/>
      <c r="H1587" s="92" t="n"/>
      <c r="I1587" s="92" t="n"/>
      <c r="J1587" s="92" t="n"/>
      <c r="K1587" s="92" t="n"/>
      <c r="L1587" s="92" t="n"/>
      <c r="M1587" s="97" t="n"/>
      <c r="N1587" s="92" t="n"/>
      <c r="O1587" s="92" t="n"/>
      <c r="P1587" s="92" t="n"/>
    </row>
    <row r="1588" ht="32" customHeight="1">
      <c r="A1588" s="91" t="n"/>
      <c r="B1588" s="91" t="n"/>
      <c r="C1588" s="91" t="n"/>
      <c r="D1588" s="91" t="n"/>
      <c r="E1588" s="91" t="n"/>
      <c r="F1588" s="94" t="n"/>
      <c r="G1588" s="94" t="n"/>
      <c r="H1588" s="91" t="n"/>
      <c r="I1588" s="91" t="n"/>
      <c r="J1588" s="91" t="n"/>
      <c r="K1588" s="91" t="n"/>
      <c r="L1588" s="91" t="n"/>
      <c r="M1588" s="95" t="n"/>
      <c r="N1588" s="91" t="n"/>
      <c r="O1588" s="91" t="n"/>
      <c r="P1588" s="91" t="n"/>
    </row>
    <row r="1589" ht="32" customHeight="1">
      <c r="A1589" s="92" t="n"/>
      <c r="B1589" s="92" t="n"/>
      <c r="C1589" s="92" t="n"/>
      <c r="D1589" s="92" t="n"/>
      <c r="E1589" s="92" t="n"/>
      <c r="F1589" s="96" t="n"/>
      <c r="G1589" s="96" t="n"/>
      <c r="H1589" s="92" t="n"/>
      <c r="I1589" s="92" t="n"/>
      <c r="J1589" s="92" t="n"/>
      <c r="K1589" s="92" t="n"/>
      <c r="L1589" s="92" t="n"/>
      <c r="M1589" s="97" t="n"/>
      <c r="N1589" s="92" t="n"/>
      <c r="O1589" s="92" t="n"/>
      <c r="P1589" s="92" t="n"/>
    </row>
    <row r="1590" ht="32" customHeight="1">
      <c r="A1590" s="91" t="n"/>
      <c r="B1590" s="91" t="n"/>
      <c r="C1590" s="91" t="n"/>
      <c r="D1590" s="91" t="n"/>
      <c r="E1590" s="91" t="n"/>
      <c r="F1590" s="94" t="n"/>
      <c r="G1590" s="94" t="n"/>
      <c r="H1590" s="91" t="n"/>
      <c r="I1590" s="91" t="n"/>
      <c r="J1590" s="91" t="n"/>
      <c r="K1590" s="91" t="n"/>
      <c r="L1590" s="91" t="n"/>
      <c r="M1590" s="95" t="n"/>
      <c r="N1590" s="91" t="n"/>
      <c r="O1590" s="91" t="n"/>
      <c r="P1590" s="91" t="n"/>
    </row>
    <row r="1591" ht="32" customHeight="1">
      <c r="A1591" s="92" t="n"/>
      <c r="B1591" s="92" t="n"/>
      <c r="C1591" s="92" t="n"/>
      <c r="D1591" s="92" t="n"/>
      <c r="E1591" s="92" t="n"/>
      <c r="F1591" s="96" t="n"/>
      <c r="G1591" s="96" t="n"/>
      <c r="H1591" s="92" t="n"/>
      <c r="I1591" s="92" t="n"/>
      <c r="J1591" s="92" t="n"/>
      <c r="K1591" s="92" t="n"/>
      <c r="L1591" s="92" t="n"/>
      <c r="M1591" s="97" t="n"/>
      <c r="N1591" s="92" t="n"/>
      <c r="O1591" s="92" t="n"/>
      <c r="P1591" s="92" t="n"/>
    </row>
    <row r="1592" ht="32" customHeight="1">
      <c r="A1592" s="91" t="n"/>
      <c r="B1592" s="91" t="n"/>
      <c r="C1592" s="91" t="n"/>
      <c r="D1592" s="91" t="n"/>
      <c r="E1592" s="91" t="n"/>
      <c r="F1592" s="94" t="n"/>
      <c r="G1592" s="94" t="n"/>
      <c r="H1592" s="91" t="n"/>
      <c r="I1592" s="91" t="n"/>
      <c r="J1592" s="91" t="n"/>
      <c r="K1592" s="91" t="n"/>
      <c r="L1592" s="91" t="n"/>
      <c r="M1592" s="95" t="n"/>
      <c r="N1592" s="91" t="n"/>
      <c r="O1592" s="91" t="n"/>
      <c r="P1592" s="91" t="n"/>
    </row>
    <row r="1593" ht="32" customHeight="1">
      <c r="A1593" s="92" t="n"/>
      <c r="B1593" s="92" t="n"/>
      <c r="C1593" s="92" t="n"/>
      <c r="D1593" s="92" t="n"/>
      <c r="E1593" s="92" t="n"/>
      <c r="F1593" s="96" t="n"/>
      <c r="G1593" s="96" t="n"/>
      <c r="H1593" s="92" t="n"/>
      <c r="I1593" s="92" t="n"/>
      <c r="J1593" s="92" t="n"/>
      <c r="K1593" s="92" t="n"/>
      <c r="L1593" s="92" t="n"/>
      <c r="M1593" s="97" t="n"/>
      <c r="N1593" s="92" t="n"/>
      <c r="O1593" s="92" t="n"/>
      <c r="P1593" s="92" t="n"/>
    </row>
    <row r="1594" ht="32" customHeight="1">
      <c r="A1594" s="91" t="n"/>
      <c r="B1594" s="91" t="n"/>
      <c r="C1594" s="91" t="n"/>
      <c r="D1594" s="91" t="n"/>
      <c r="E1594" s="91" t="n"/>
      <c r="F1594" s="94" t="n"/>
      <c r="G1594" s="94" t="n"/>
      <c r="H1594" s="91" t="n"/>
      <c r="I1594" s="91" t="n"/>
      <c r="J1594" s="91" t="n"/>
      <c r="K1594" s="91" t="n"/>
      <c r="L1594" s="91" t="n"/>
      <c r="M1594" s="95" t="n"/>
      <c r="N1594" s="91" t="n"/>
      <c r="O1594" s="91" t="n"/>
      <c r="P1594" s="91" t="n"/>
    </row>
    <row r="1595" ht="32" customHeight="1">
      <c r="A1595" s="92" t="n"/>
      <c r="B1595" s="92" t="n"/>
      <c r="C1595" s="92" t="n"/>
      <c r="D1595" s="92" t="n"/>
      <c r="E1595" s="92" t="n"/>
      <c r="F1595" s="96" t="n"/>
      <c r="G1595" s="96" t="n"/>
      <c r="H1595" s="92" t="n"/>
      <c r="I1595" s="92" t="n"/>
      <c r="J1595" s="92" t="n"/>
      <c r="K1595" s="92" t="n"/>
      <c r="L1595" s="92" t="n"/>
      <c r="M1595" s="97" t="n"/>
      <c r="N1595" s="92" t="n"/>
      <c r="O1595" s="92" t="n"/>
      <c r="P1595" s="92" t="n"/>
    </row>
    <row r="1596" ht="32" customHeight="1">
      <c r="A1596" s="91" t="n"/>
      <c r="B1596" s="91" t="n"/>
      <c r="C1596" s="91" t="n"/>
      <c r="D1596" s="91" t="n"/>
      <c r="E1596" s="91" t="n"/>
      <c r="F1596" s="94" t="n"/>
      <c r="G1596" s="94" t="n"/>
      <c r="H1596" s="91" t="n"/>
      <c r="I1596" s="91" t="n"/>
      <c r="J1596" s="91" t="n"/>
      <c r="K1596" s="91" t="n"/>
      <c r="L1596" s="91" t="n"/>
      <c r="M1596" s="95" t="n"/>
      <c r="N1596" s="91" t="n"/>
      <c r="O1596" s="91" t="n"/>
      <c r="P1596" s="91" t="n"/>
    </row>
    <row r="1597" ht="32" customHeight="1">
      <c r="A1597" s="92" t="n"/>
      <c r="B1597" s="92" t="n"/>
      <c r="C1597" s="92" t="n"/>
      <c r="D1597" s="92" t="n"/>
      <c r="E1597" s="92" t="n"/>
      <c r="F1597" s="96" t="n"/>
      <c r="G1597" s="96" t="n"/>
      <c r="H1597" s="92" t="n"/>
      <c r="I1597" s="92" t="n"/>
      <c r="J1597" s="92" t="n"/>
      <c r="K1597" s="92" t="n"/>
      <c r="L1597" s="92" t="n"/>
      <c r="M1597" s="97" t="n"/>
      <c r="N1597" s="92" t="n"/>
      <c r="O1597" s="92" t="n"/>
      <c r="P1597" s="92" t="n"/>
    </row>
    <row r="1598" ht="32" customHeight="1">
      <c r="A1598" s="91" t="n"/>
      <c r="B1598" s="91" t="n"/>
      <c r="C1598" s="91" t="n"/>
      <c r="D1598" s="91" t="n"/>
      <c r="E1598" s="91" t="n"/>
      <c r="F1598" s="94" t="n"/>
      <c r="G1598" s="94" t="n"/>
      <c r="H1598" s="91" t="n"/>
      <c r="I1598" s="91" t="n"/>
      <c r="J1598" s="91" t="n"/>
      <c r="K1598" s="91" t="n"/>
      <c r="L1598" s="91" t="n"/>
      <c r="M1598" s="95" t="n"/>
      <c r="N1598" s="91" t="n"/>
      <c r="O1598" s="91" t="n"/>
      <c r="P1598" s="91" t="n"/>
    </row>
    <row r="1599" ht="32" customHeight="1">
      <c r="A1599" s="92" t="n"/>
      <c r="B1599" s="92" t="n"/>
      <c r="C1599" s="92" t="n"/>
      <c r="D1599" s="92" t="n"/>
      <c r="E1599" s="92" t="n"/>
      <c r="F1599" s="96" t="n"/>
      <c r="G1599" s="96" t="n"/>
      <c r="H1599" s="92" t="n"/>
      <c r="I1599" s="92" t="n"/>
      <c r="J1599" s="92" t="n"/>
      <c r="K1599" s="92" t="n"/>
      <c r="L1599" s="92" t="n"/>
      <c r="M1599" s="97" t="n"/>
      <c r="N1599" s="92" t="n"/>
      <c r="O1599" s="92" t="n"/>
      <c r="P1599" s="92" t="n"/>
    </row>
    <row r="1600" ht="32" customHeight="1">
      <c r="A1600" s="91" t="n"/>
      <c r="B1600" s="91" t="n"/>
      <c r="C1600" s="91" t="n"/>
      <c r="D1600" s="91" t="n"/>
      <c r="E1600" s="91" t="n"/>
      <c r="F1600" s="94" t="n"/>
      <c r="G1600" s="94" t="n"/>
      <c r="H1600" s="91" t="n"/>
      <c r="I1600" s="91" t="n"/>
      <c r="J1600" s="91" t="n"/>
      <c r="K1600" s="91" t="n"/>
      <c r="L1600" s="91" t="n"/>
      <c r="M1600" s="95" t="n"/>
      <c r="N1600" s="91" t="n"/>
      <c r="O1600" s="91" t="n"/>
      <c r="P1600" s="91" t="n"/>
    </row>
    <row r="1601" ht="32" customHeight="1">
      <c r="A1601" s="92" t="n"/>
      <c r="B1601" s="92" t="n"/>
      <c r="C1601" s="92" t="n"/>
      <c r="D1601" s="92" t="n"/>
      <c r="E1601" s="92" t="n"/>
      <c r="F1601" s="96" t="n"/>
      <c r="G1601" s="96" t="n"/>
      <c r="H1601" s="92" t="n"/>
      <c r="I1601" s="92" t="n"/>
      <c r="J1601" s="92" t="n"/>
      <c r="K1601" s="92" t="n"/>
      <c r="L1601" s="92" t="n"/>
      <c r="M1601" s="97" t="n"/>
      <c r="N1601" s="92" t="n"/>
      <c r="O1601" s="92" t="n"/>
      <c r="P1601" s="92" t="n"/>
    </row>
    <row r="1602" ht="32" customHeight="1">
      <c r="A1602" s="91" t="n"/>
      <c r="B1602" s="91" t="n"/>
      <c r="C1602" s="91" t="n"/>
      <c r="D1602" s="91" t="n"/>
      <c r="E1602" s="91" t="n"/>
      <c r="F1602" s="94" t="n"/>
      <c r="G1602" s="94" t="n"/>
      <c r="H1602" s="91" t="n"/>
      <c r="I1602" s="91" t="n"/>
      <c r="J1602" s="91" t="n"/>
      <c r="K1602" s="91" t="n"/>
      <c r="L1602" s="91" t="n"/>
      <c r="M1602" s="95" t="n"/>
      <c r="N1602" s="91" t="n"/>
      <c r="O1602" s="91" t="n"/>
      <c r="P1602" s="91" t="n"/>
    </row>
    <row r="1603" ht="32" customHeight="1">
      <c r="A1603" s="92" t="n"/>
      <c r="B1603" s="92" t="n"/>
      <c r="C1603" s="92" t="n"/>
      <c r="D1603" s="92" t="n"/>
      <c r="E1603" s="92" t="n"/>
      <c r="F1603" s="96" t="n"/>
      <c r="G1603" s="96" t="n"/>
      <c r="H1603" s="92" t="n"/>
      <c r="I1603" s="92" t="n"/>
      <c r="J1603" s="92" t="n"/>
      <c r="K1603" s="92" t="n"/>
      <c r="L1603" s="92" t="n"/>
      <c r="M1603" s="97" t="n"/>
      <c r="N1603" s="92" t="n"/>
      <c r="O1603" s="92" t="n"/>
      <c r="P1603" s="92" t="n"/>
    </row>
    <row r="1604" ht="32" customHeight="1">
      <c r="A1604" s="91" t="n"/>
      <c r="B1604" s="91" t="n"/>
      <c r="C1604" s="91" t="n"/>
      <c r="D1604" s="91" t="n"/>
      <c r="E1604" s="91" t="n"/>
      <c r="F1604" s="94" t="n"/>
      <c r="G1604" s="94" t="n"/>
      <c r="H1604" s="91" t="n"/>
      <c r="I1604" s="91" t="n"/>
      <c r="J1604" s="91" t="n"/>
      <c r="K1604" s="91" t="n"/>
      <c r="L1604" s="91" t="n"/>
      <c r="M1604" s="95" t="n"/>
      <c r="N1604" s="91" t="n"/>
      <c r="O1604" s="91" t="n"/>
      <c r="P1604" s="91" t="n"/>
    </row>
    <row r="1605" ht="32" customHeight="1">
      <c r="A1605" s="92" t="n"/>
      <c r="B1605" s="92" t="n"/>
      <c r="C1605" s="92" t="n"/>
      <c r="D1605" s="92" t="n"/>
      <c r="E1605" s="92" t="n"/>
      <c r="F1605" s="96" t="n"/>
      <c r="G1605" s="96" t="n"/>
      <c r="H1605" s="92" t="n"/>
      <c r="I1605" s="92" t="n"/>
      <c r="J1605" s="92" t="n"/>
      <c r="K1605" s="92" t="n"/>
      <c r="L1605" s="92" t="n"/>
      <c r="M1605" s="97" t="n"/>
      <c r="N1605" s="92" t="n"/>
      <c r="O1605" s="92" t="n"/>
      <c r="P1605" s="92" t="n"/>
    </row>
    <row r="1606" ht="32" customHeight="1">
      <c r="A1606" s="91" t="n"/>
      <c r="B1606" s="91" t="n"/>
      <c r="C1606" s="91" t="n"/>
      <c r="D1606" s="91" t="n"/>
      <c r="E1606" s="91" t="n"/>
      <c r="F1606" s="94" t="n"/>
      <c r="G1606" s="94" t="n"/>
      <c r="H1606" s="91" t="n"/>
      <c r="I1606" s="91" t="n"/>
      <c r="J1606" s="91" t="n"/>
      <c r="K1606" s="91" t="n"/>
      <c r="L1606" s="91" t="n"/>
      <c r="M1606" s="95" t="n"/>
      <c r="N1606" s="91" t="n"/>
      <c r="O1606" s="91" t="n"/>
      <c r="P1606" s="91" t="n"/>
    </row>
    <row r="1607" ht="32" customHeight="1">
      <c r="A1607" s="92" t="n"/>
      <c r="B1607" s="92" t="n"/>
      <c r="C1607" s="92" t="n"/>
      <c r="D1607" s="92" t="n"/>
      <c r="E1607" s="92" t="n"/>
      <c r="F1607" s="96" t="n"/>
      <c r="G1607" s="96" t="n"/>
      <c r="H1607" s="92" t="n"/>
      <c r="I1607" s="92" t="n"/>
      <c r="J1607" s="92" t="n"/>
      <c r="K1607" s="92" t="n"/>
      <c r="L1607" s="92" t="n"/>
      <c r="M1607" s="97" t="n"/>
      <c r="N1607" s="92" t="n"/>
      <c r="O1607" s="92" t="n"/>
      <c r="P1607" s="92" t="n"/>
    </row>
    <row r="1608" ht="32" customHeight="1">
      <c r="A1608" s="91" t="n"/>
      <c r="B1608" s="91" t="n"/>
      <c r="C1608" s="91" t="n"/>
      <c r="D1608" s="91" t="n"/>
      <c r="E1608" s="91" t="n"/>
      <c r="F1608" s="94" t="n"/>
      <c r="G1608" s="94" t="n"/>
      <c r="H1608" s="91" t="n"/>
      <c r="I1608" s="91" t="n"/>
      <c r="J1608" s="91" t="n"/>
      <c r="K1608" s="91" t="n"/>
      <c r="L1608" s="91" t="n"/>
      <c r="M1608" s="95" t="n"/>
      <c r="N1608" s="91" t="n"/>
      <c r="O1608" s="91" t="n"/>
      <c r="P1608" s="91" t="n"/>
    </row>
    <row r="1609" ht="32" customHeight="1">
      <c r="A1609" s="92" t="n"/>
      <c r="B1609" s="92" t="n"/>
      <c r="C1609" s="92" t="n"/>
      <c r="D1609" s="92" t="n"/>
      <c r="E1609" s="92" t="n"/>
      <c r="F1609" s="96" t="n"/>
      <c r="G1609" s="96" t="n"/>
      <c r="H1609" s="92" t="n"/>
      <c r="I1609" s="92" t="n"/>
      <c r="J1609" s="92" t="n"/>
      <c r="K1609" s="92" t="n"/>
      <c r="L1609" s="92" t="n"/>
      <c r="M1609" s="97" t="n"/>
      <c r="N1609" s="92" t="n"/>
      <c r="O1609" s="92" t="n"/>
      <c r="P1609" s="92" t="n"/>
    </row>
    <row r="1610" ht="32" customHeight="1">
      <c r="A1610" s="91" t="n"/>
      <c r="B1610" s="91" t="n"/>
      <c r="C1610" s="91" t="n"/>
      <c r="D1610" s="91" t="n"/>
      <c r="E1610" s="91" t="n"/>
      <c r="F1610" s="94" t="n"/>
      <c r="G1610" s="94" t="n"/>
      <c r="H1610" s="91" t="n"/>
      <c r="I1610" s="91" t="n"/>
      <c r="J1610" s="91" t="n"/>
      <c r="K1610" s="91" t="n"/>
      <c r="L1610" s="91" t="n"/>
      <c r="M1610" s="95" t="n"/>
      <c r="N1610" s="91" t="n"/>
      <c r="O1610" s="91" t="n"/>
      <c r="P1610" s="91" t="n"/>
    </row>
    <row r="1611" ht="32" customHeight="1">
      <c r="A1611" s="92" t="n"/>
      <c r="B1611" s="92" t="n"/>
      <c r="C1611" s="92" t="n"/>
      <c r="D1611" s="92" t="n"/>
      <c r="E1611" s="92" t="n"/>
      <c r="F1611" s="96" t="n"/>
      <c r="G1611" s="96" t="n"/>
      <c r="H1611" s="92" t="n"/>
      <c r="I1611" s="92" t="n"/>
      <c r="J1611" s="92" t="n"/>
      <c r="K1611" s="92" t="n"/>
      <c r="L1611" s="92" t="n"/>
      <c r="M1611" s="97" t="n"/>
      <c r="N1611" s="92" t="n"/>
      <c r="O1611" s="92" t="n"/>
      <c r="P1611" s="92" t="n"/>
    </row>
    <row r="1612" ht="32" customHeight="1">
      <c r="A1612" s="91" t="n"/>
      <c r="B1612" s="91" t="n"/>
      <c r="C1612" s="91" t="n"/>
      <c r="D1612" s="91" t="n"/>
      <c r="E1612" s="91" t="n"/>
      <c r="F1612" s="94" t="n"/>
      <c r="G1612" s="94" t="n"/>
      <c r="H1612" s="91" t="n"/>
      <c r="I1612" s="91" t="n"/>
      <c r="J1612" s="91" t="n"/>
      <c r="K1612" s="91" t="n"/>
      <c r="L1612" s="91" t="n"/>
      <c r="M1612" s="95" t="n"/>
      <c r="N1612" s="91" t="n"/>
      <c r="O1612" s="91" t="n"/>
      <c r="P1612" s="91" t="n"/>
    </row>
    <row r="1613" ht="32" customHeight="1">
      <c r="A1613" s="92" t="n"/>
      <c r="B1613" s="92" t="n"/>
      <c r="C1613" s="92" t="n"/>
      <c r="D1613" s="92" t="n"/>
      <c r="E1613" s="92" t="n"/>
      <c r="F1613" s="96" t="n"/>
      <c r="G1613" s="96" t="n"/>
      <c r="H1613" s="92" t="n"/>
      <c r="I1613" s="92" t="n"/>
      <c r="J1613" s="92" t="n"/>
      <c r="K1613" s="92" t="n"/>
      <c r="L1613" s="92" t="n"/>
      <c r="M1613" s="97" t="n"/>
      <c r="N1613" s="92" t="n"/>
      <c r="O1613" s="92" t="n"/>
      <c r="P1613" s="92" t="n"/>
    </row>
    <row r="1614" ht="32" customHeight="1">
      <c r="A1614" s="91" t="n"/>
      <c r="B1614" s="91" t="n"/>
      <c r="C1614" s="91" t="n"/>
      <c r="D1614" s="91" t="n"/>
      <c r="E1614" s="91" t="n"/>
      <c r="F1614" s="94" t="n"/>
      <c r="G1614" s="94" t="n"/>
      <c r="H1614" s="91" t="n"/>
      <c r="I1614" s="91" t="n"/>
      <c r="J1614" s="91" t="n"/>
      <c r="K1614" s="91" t="n"/>
      <c r="L1614" s="91" t="n"/>
      <c r="M1614" s="95" t="n"/>
      <c r="N1614" s="91" t="n"/>
      <c r="O1614" s="91" t="n"/>
      <c r="P1614" s="91" t="n"/>
    </row>
    <row r="1615" ht="32" customHeight="1">
      <c r="A1615" s="92" t="n"/>
      <c r="B1615" s="92" t="n"/>
      <c r="C1615" s="92" t="n"/>
      <c r="D1615" s="92" t="n"/>
      <c r="E1615" s="92" t="n"/>
      <c r="F1615" s="96" t="n"/>
      <c r="G1615" s="96" t="n"/>
      <c r="H1615" s="92" t="n"/>
      <c r="I1615" s="92" t="n"/>
      <c r="J1615" s="92" t="n"/>
      <c r="K1615" s="92" t="n"/>
      <c r="L1615" s="92" t="n"/>
      <c r="M1615" s="97" t="n"/>
      <c r="N1615" s="92" t="n"/>
      <c r="O1615" s="92" t="n"/>
      <c r="P1615" s="92" t="n"/>
    </row>
    <row r="1616" ht="32" customHeight="1">
      <c r="A1616" s="91" t="n"/>
      <c r="B1616" s="91" t="n"/>
      <c r="C1616" s="91" t="n"/>
      <c r="D1616" s="91" t="n"/>
      <c r="E1616" s="91" t="n"/>
      <c r="F1616" s="94" t="n"/>
      <c r="G1616" s="94" t="n"/>
      <c r="H1616" s="91" t="n"/>
      <c r="I1616" s="91" t="n"/>
      <c r="J1616" s="91" t="n"/>
      <c r="K1616" s="91" t="n"/>
      <c r="L1616" s="91" t="n"/>
      <c r="M1616" s="95" t="n"/>
      <c r="N1616" s="91" t="n"/>
      <c r="O1616" s="91" t="n"/>
      <c r="P1616" s="91" t="n"/>
    </row>
    <row r="1617" ht="32" customHeight="1">
      <c r="A1617" s="92" t="n"/>
      <c r="B1617" s="92" t="n"/>
      <c r="C1617" s="92" t="n"/>
      <c r="D1617" s="92" t="n"/>
      <c r="E1617" s="92" t="n"/>
      <c r="F1617" s="96" t="n"/>
      <c r="G1617" s="96" t="n"/>
      <c r="H1617" s="92" t="n"/>
      <c r="I1617" s="92" t="n"/>
      <c r="J1617" s="92" t="n"/>
      <c r="K1617" s="92" t="n"/>
      <c r="L1617" s="92" t="n"/>
      <c r="M1617" s="97" t="n"/>
      <c r="N1617" s="92" t="n"/>
      <c r="O1617" s="92" t="n"/>
      <c r="P1617" s="92" t="n"/>
    </row>
    <row r="1618" ht="32" customHeight="1">
      <c r="A1618" s="91" t="n"/>
      <c r="B1618" s="91" t="n"/>
      <c r="C1618" s="91" t="n"/>
      <c r="D1618" s="91" t="n"/>
      <c r="E1618" s="91" t="n"/>
      <c r="F1618" s="94" t="n"/>
      <c r="G1618" s="94" t="n"/>
      <c r="H1618" s="91" t="n"/>
      <c r="I1618" s="91" t="n"/>
      <c r="J1618" s="91" t="n"/>
      <c r="K1618" s="91" t="n"/>
      <c r="L1618" s="91" t="n"/>
      <c r="M1618" s="95" t="n"/>
      <c r="N1618" s="91" t="n"/>
      <c r="O1618" s="91" t="n"/>
      <c r="P1618" s="91" t="n"/>
    </row>
    <row r="1619" ht="32" customHeight="1">
      <c r="A1619" s="92" t="n"/>
      <c r="B1619" s="92" t="n"/>
      <c r="C1619" s="92" t="n"/>
      <c r="D1619" s="92" t="n"/>
      <c r="E1619" s="92" t="n"/>
      <c r="F1619" s="96" t="n"/>
      <c r="G1619" s="96" t="n"/>
      <c r="H1619" s="92" t="n"/>
      <c r="I1619" s="92" t="n"/>
      <c r="J1619" s="92" t="n"/>
      <c r="K1619" s="92" t="n"/>
      <c r="L1619" s="92" t="n"/>
      <c r="M1619" s="97" t="n"/>
      <c r="N1619" s="92" t="n"/>
      <c r="O1619" s="92" t="n"/>
      <c r="P1619" s="92" t="n"/>
    </row>
    <row r="1620" ht="32" customHeight="1">
      <c r="A1620" s="91" t="n"/>
      <c r="B1620" s="91" t="n"/>
      <c r="C1620" s="91" t="n"/>
      <c r="D1620" s="91" t="n"/>
      <c r="E1620" s="91" t="n"/>
      <c r="F1620" s="94" t="n"/>
      <c r="G1620" s="94" t="n"/>
      <c r="H1620" s="91" t="n"/>
      <c r="I1620" s="91" t="n"/>
      <c r="J1620" s="91" t="n"/>
      <c r="K1620" s="91" t="n"/>
      <c r="L1620" s="91" t="n"/>
      <c r="M1620" s="95" t="n"/>
      <c r="N1620" s="91" t="n"/>
      <c r="O1620" s="91" t="n"/>
      <c r="P1620" s="91" t="n"/>
    </row>
    <row r="1621" ht="32" customHeight="1">
      <c r="A1621" s="92" t="n"/>
      <c r="B1621" s="92" t="n"/>
      <c r="C1621" s="92" t="n"/>
      <c r="D1621" s="92" t="n"/>
      <c r="E1621" s="92" t="n"/>
      <c r="F1621" s="96" t="n"/>
      <c r="G1621" s="96" t="n"/>
      <c r="H1621" s="92" t="n"/>
      <c r="I1621" s="92" t="n"/>
      <c r="J1621" s="92" t="n"/>
      <c r="K1621" s="92" t="n"/>
      <c r="L1621" s="92" t="n"/>
      <c r="M1621" s="97" t="n"/>
      <c r="N1621" s="92" t="n"/>
      <c r="O1621" s="92" t="n"/>
      <c r="P1621" s="92" t="n"/>
    </row>
    <row r="1622" ht="32" customHeight="1">
      <c r="A1622" s="91" t="n"/>
      <c r="B1622" s="91" t="n"/>
      <c r="C1622" s="91" t="n"/>
      <c r="D1622" s="91" t="n"/>
      <c r="E1622" s="91" t="n"/>
      <c r="F1622" s="94" t="n"/>
      <c r="G1622" s="94" t="n"/>
      <c r="H1622" s="91" t="n"/>
      <c r="I1622" s="91" t="n"/>
      <c r="J1622" s="91" t="n"/>
      <c r="K1622" s="91" t="n"/>
      <c r="L1622" s="91" t="n"/>
      <c r="M1622" s="95" t="n"/>
      <c r="N1622" s="91" t="n"/>
      <c r="O1622" s="91" t="n"/>
      <c r="P1622" s="91" t="n"/>
    </row>
    <row r="1623" ht="32" customHeight="1">
      <c r="A1623" s="92" t="n"/>
      <c r="B1623" s="92" t="n"/>
      <c r="C1623" s="92" t="n"/>
      <c r="D1623" s="92" t="n"/>
      <c r="E1623" s="92" t="n"/>
      <c r="F1623" s="96" t="n"/>
      <c r="G1623" s="96" t="n"/>
      <c r="H1623" s="92" t="n"/>
      <c r="I1623" s="92" t="n"/>
      <c r="J1623" s="92" t="n"/>
      <c r="K1623" s="92" t="n"/>
      <c r="L1623" s="92" t="n"/>
      <c r="M1623" s="97" t="n"/>
      <c r="N1623" s="92" t="n"/>
      <c r="O1623" s="92" t="n"/>
      <c r="P1623" s="92" t="n"/>
    </row>
    <row r="1624" ht="32" customHeight="1">
      <c r="A1624" s="91" t="n"/>
      <c r="B1624" s="91" t="n"/>
      <c r="C1624" s="91" t="n"/>
      <c r="D1624" s="91" t="n"/>
      <c r="E1624" s="91" t="n"/>
      <c r="F1624" s="94" t="n"/>
      <c r="G1624" s="94" t="n"/>
      <c r="H1624" s="91" t="n"/>
      <c r="I1624" s="91" t="n"/>
      <c r="J1624" s="91" t="n"/>
      <c r="K1624" s="91" t="n"/>
      <c r="L1624" s="91" t="n"/>
      <c r="M1624" s="95" t="n"/>
      <c r="N1624" s="91" t="n"/>
      <c r="O1624" s="91" t="n"/>
      <c r="P1624" s="91" t="n"/>
    </row>
    <row r="1625" ht="32" customHeight="1">
      <c r="A1625" s="92" t="n"/>
      <c r="B1625" s="92" t="n"/>
      <c r="C1625" s="92" t="n"/>
      <c r="D1625" s="92" t="n"/>
      <c r="E1625" s="92" t="n"/>
      <c r="F1625" s="96" t="n"/>
      <c r="G1625" s="96" t="n"/>
      <c r="H1625" s="92" t="n"/>
      <c r="I1625" s="92" t="n"/>
      <c r="J1625" s="92" t="n"/>
      <c r="K1625" s="92" t="n"/>
      <c r="L1625" s="92" t="n"/>
      <c r="M1625" s="97" t="n"/>
      <c r="N1625" s="92" t="n"/>
      <c r="O1625" s="92" t="n"/>
      <c r="P1625" s="92" t="n"/>
    </row>
    <row r="1626" ht="32" customHeight="1">
      <c r="A1626" s="91" t="n"/>
      <c r="B1626" s="91" t="n"/>
      <c r="C1626" s="91" t="n"/>
      <c r="D1626" s="91" t="n"/>
      <c r="E1626" s="91" t="n"/>
      <c r="F1626" s="94" t="n"/>
      <c r="G1626" s="94" t="n"/>
      <c r="H1626" s="91" t="n"/>
      <c r="I1626" s="91" t="n"/>
      <c r="J1626" s="91" t="n"/>
      <c r="K1626" s="91" t="n"/>
      <c r="L1626" s="91" t="n"/>
      <c r="M1626" s="95" t="n"/>
      <c r="N1626" s="91" t="n"/>
      <c r="O1626" s="91" t="n"/>
      <c r="P1626" s="91" t="n"/>
    </row>
    <row r="1627" ht="32" customHeight="1">
      <c r="A1627" s="92" t="n"/>
      <c r="B1627" s="92" t="n"/>
      <c r="C1627" s="92" t="n"/>
      <c r="D1627" s="92" t="n"/>
      <c r="E1627" s="92" t="n"/>
      <c r="F1627" s="96" t="n"/>
      <c r="G1627" s="96" t="n"/>
      <c r="H1627" s="92" t="n"/>
      <c r="I1627" s="92" t="n"/>
      <c r="J1627" s="92" t="n"/>
      <c r="K1627" s="92" t="n"/>
      <c r="L1627" s="92" t="n"/>
      <c r="M1627" s="97" t="n"/>
      <c r="N1627" s="92" t="n"/>
      <c r="O1627" s="92" t="n"/>
      <c r="P1627" s="92" t="n"/>
    </row>
    <row r="1628" ht="32" customHeight="1">
      <c r="A1628" s="91" t="n"/>
      <c r="B1628" s="91" t="n"/>
      <c r="C1628" s="91" t="n"/>
      <c r="D1628" s="91" t="n"/>
      <c r="E1628" s="91" t="n"/>
      <c r="F1628" s="94" t="n"/>
      <c r="G1628" s="94" t="n"/>
      <c r="H1628" s="91" t="n"/>
      <c r="I1628" s="91" t="n"/>
      <c r="J1628" s="91" t="n"/>
      <c r="K1628" s="91" t="n"/>
      <c r="L1628" s="91" t="n"/>
      <c r="M1628" s="95" t="n"/>
      <c r="N1628" s="91" t="n"/>
      <c r="O1628" s="91" t="n"/>
      <c r="P1628" s="91" t="n"/>
    </row>
    <row r="1629" ht="32" customHeight="1">
      <c r="A1629" s="92" t="n"/>
      <c r="B1629" s="92" t="n"/>
      <c r="C1629" s="92" t="n"/>
      <c r="D1629" s="92" t="n"/>
      <c r="E1629" s="92" t="n"/>
      <c r="F1629" s="96" t="n"/>
      <c r="G1629" s="96" t="n"/>
      <c r="H1629" s="92" t="n"/>
      <c r="I1629" s="92" t="n"/>
      <c r="J1629" s="92" t="n"/>
      <c r="K1629" s="92" t="n"/>
      <c r="L1629" s="92" t="n"/>
      <c r="M1629" s="97" t="n"/>
      <c r="N1629" s="92" t="n"/>
      <c r="O1629" s="92" t="n"/>
      <c r="P1629" s="92" t="n"/>
    </row>
    <row r="1630" ht="32" customHeight="1">
      <c r="A1630" s="91" t="n"/>
      <c r="B1630" s="91" t="n"/>
      <c r="C1630" s="91" t="n"/>
      <c r="D1630" s="91" t="n"/>
      <c r="E1630" s="91" t="n"/>
      <c r="F1630" s="94" t="n"/>
      <c r="G1630" s="94" t="n"/>
      <c r="H1630" s="91" t="n"/>
      <c r="I1630" s="91" t="n"/>
      <c r="J1630" s="91" t="n"/>
      <c r="K1630" s="91" t="n"/>
      <c r="L1630" s="91" t="n"/>
      <c r="M1630" s="95" t="n"/>
      <c r="N1630" s="91" t="n"/>
      <c r="O1630" s="91" t="n"/>
      <c r="P1630" s="91" t="n"/>
    </row>
    <row r="1631" ht="32" customHeight="1">
      <c r="A1631" s="92" t="n"/>
      <c r="B1631" s="92" t="n"/>
      <c r="C1631" s="92" t="n"/>
      <c r="D1631" s="92" t="n"/>
      <c r="E1631" s="92" t="n"/>
      <c r="F1631" s="96" t="n"/>
      <c r="G1631" s="96" t="n"/>
      <c r="H1631" s="92" t="n"/>
      <c r="I1631" s="92" t="n"/>
      <c r="J1631" s="92" t="n"/>
      <c r="K1631" s="92" t="n"/>
      <c r="L1631" s="92" t="n"/>
      <c r="M1631" s="97" t="n"/>
      <c r="N1631" s="92" t="n"/>
      <c r="O1631" s="92" t="n"/>
      <c r="P1631" s="92" t="n"/>
    </row>
    <row r="1632" ht="32" customHeight="1">
      <c r="A1632" s="91" t="n"/>
      <c r="B1632" s="91" t="n"/>
      <c r="C1632" s="91" t="n"/>
      <c r="D1632" s="91" t="n"/>
      <c r="E1632" s="91" t="n"/>
      <c r="F1632" s="94" t="n"/>
      <c r="G1632" s="94" t="n"/>
      <c r="H1632" s="91" t="n"/>
      <c r="I1632" s="91" t="n"/>
      <c r="J1632" s="91" t="n"/>
      <c r="K1632" s="91" t="n"/>
      <c r="L1632" s="91" t="n"/>
      <c r="M1632" s="95" t="n"/>
      <c r="N1632" s="91" t="n"/>
      <c r="O1632" s="91" t="n"/>
      <c r="P1632" s="91" t="n"/>
    </row>
    <row r="1633" ht="32" customHeight="1">
      <c r="A1633" s="92" t="n"/>
      <c r="B1633" s="92" t="n"/>
      <c r="C1633" s="92" t="n"/>
      <c r="D1633" s="92" t="n"/>
      <c r="E1633" s="92" t="n"/>
      <c r="F1633" s="96" t="n"/>
      <c r="G1633" s="96" t="n"/>
      <c r="H1633" s="92" t="n"/>
      <c r="I1633" s="92" t="n"/>
      <c r="J1633" s="92" t="n"/>
      <c r="K1633" s="92" t="n"/>
      <c r="L1633" s="92" t="n"/>
      <c r="M1633" s="97" t="n"/>
      <c r="N1633" s="92" t="n"/>
      <c r="O1633" s="92" t="n"/>
      <c r="P1633" s="92" t="n"/>
    </row>
    <row r="1634" ht="32" customHeight="1">
      <c r="A1634" s="91" t="n"/>
      <c r="B1634" s="91" t="n"/>
      <c r="C1634" s="91" t="n"/>
      <c r="D1634" s="91" t="n"/>
      <c r="E1634" s="91" t="n"/>
      <c r="F1634" s="94" t="n"/>
      <c r="G1634" s="94" t="n"/>
      <c r="H1634" s="91" t="n"/>
      <c r="I1634" s="91" t="n"/>
      <c r="J1634" s="91" t="n"/>
      <c r="K1634" s="91" t="n"/>
      <c r="L1634" s="91" t="n"/>
      <c r="M1634" s="95" t="n"/>
      <c r="N1634" s="91" t="n"/>
      <c r="O1634" s="91" t="n"/>
      <c r="P1634" s="91" t="n"/>
    </row>
    <row r="1635" ht="32" customHeight="1">
      <c r="A1635" s="92" t="n"/>
      <c r="B1635" s="92" t="n"/>
      <c r="C1635" s="92" t="n"/>
      <c r="D1635" s="92" t="n"/>
      <c r="E1635" s="92" t="n"/>
      <c r="F1635" s="96" t="n"/>
      <c r="G1635" s="96" t="n"/>
      <c r="H1635" s="92" t="n"/>
      <c r="I1635" s="92" t="n"/>
      <c r="J1635" s="92" t="n"/>
      <c r="K1635" s="92" t="n"/>
      <c r="L1635" s="92" t="n"/>
      <c r="M1635" s="97" t="n"/>
      <c r="N1635" s="92" t="n"/>
      <c r="O1635" s="92" t="n"/>
      <c r="P1635" s="92" t="n"/>
    </row>
    <row r="1636" ht="32" customHeight="1">
      <c r="A1636" s="91" t="n"/>
      <c r="B1636" s="91" t="n"/>
      <c r="C1636" s="91" t="n"/>
      <c r="D1636" s="91" t="n"/>
      <c r="E1636" s="91" t="n"/>
      <c r="F1636" s="94" t="n"/>
      <c r="G1636" s="94" t="n"/>
      <c r="H1636" s="91" t="n"/>
      <c r="I1636" s="91" t="n"/>
      <c r="J1636" s="91" t="n"/>
      <c r="K1636" s="91" t="n"/>
      <c r="L1636" s="91" t="n"/>
      <c r="M1636" s="95" t="n"/>
      <c r="N1636" s="91" t="n"/>
      <c r="O1636" s="91" t="n"/>
      <c r="P1636" s="91" t="n"/>
    </row>
    <row r="1637" ht="32" customHeight="1">
      <c r="A1637" s="92" t="n"/>
      <c r="B1637" s="92" t="n"/>
      <c r="C1637" s="92" t="n"/>
      <c r="D1637" s="92" t="n"/>
      <c r="E1637" s="92" t="n"/>
      <c r="F1637" s="96" t="n"/>
      <c r="G1637" s="96" t="n"/>
      <c r="H1637" s="92" t="n"/>
      <c r="I1637" s="92" t="n"/>
      <c r="J1637" s="92" t="n"/>
      <c r="K1637" s="92" t="n"/>
      <c r="L1637" s="92" t="n"/>
      <c r="M1637" s="97" t="n"/>
      <c r="N1637" s="92" t="n"/>
      <c r="O1637" s="92" t="n"/>
      <c r="P1637" s="92" t="n"/>
    </row>
    <row r="1638" ht="32" customHeight="1">
      <c r="A1638" s="91" t="n"/>
      <c r="B1638" s="91" t="n"/>
      <c r="C1638" s="91" t="n"/>
      <c r="D1638" s="91" t="n"/>
      <c r="E1638" s="91" t="n"/>
      <c r="F1638" s="94" t="n"/>
      <c r="G1638" s="94" t="n"/>
      <c r="H1638" s="91" t="n"/>
      <c r="I1638" s="91" t="n"/>
      <c r="J1638" s="91" t="n"/>
      <c r="K1638" s="91" t="n"/>
      <c r="L1638" s="91" t="n"/>
      <c r="M1638" s="95" t="n"/>
      <c r="N1638" s="91" t="n"/>
      <c r="O1638" s="91" t="n"/>
      <c r="P1638" s="91" t="n"/>
    </row>
    <row r="1639" ht="32" customHeight="1">
      <c r="A1639" s="92" t="n"/>
      <c r="B1639" s="92" t="n"/>
      <c r="C1639" s="92" t="n"/>
      <c r="D1639" s="92" t="n"/>
      <c r="E1639" s="92" t="n"/>
      <c r="F1639" s="96" t="n"/>
      <c r="G1639" s="96" t="n"/>
      <c r="H1639" s="92" t="n"/>
      <c r="I1639" s="92" t="n"/>
      <c r="J1639" s="92" t="n"/>
      <c r="K1639" s="92" t="n"/>
      <c r="L1639" s="92" t="n"/>
      <c r="M1639" s="97" t="n"/>
      <c r="N1639" s="92" t="n"/>
      <c r="O1639" s="92" t="n"/>
      <c r="P1639" s="92" t="n"/>
    </row>
    <row r="1640" ht="32" customHeight="1">
      <c r="A1640" s="91" t="n"/>
      <c r="B1640" s="91" t="n"/>
      <c r="C1640" s="91" t="n"/>
      <c r="D1640" s="91" t="n"/>
      <c r="E1640" s="91" t="n"/>
      <c r="F1640" s="94" t="n"/>
      <c r="G1640" s="94" t="n"/>
      <c r="H1640" s="91" t="n"/>
      <c r="I1640" s="91" t="n"/>
      <c r="J1640" s="91" t="n"/>
      <c r="K1640" s="91" t="n"/>
      <c r="L1640" s="91" t="n"/>
      <c r="M1640" s="95" t="n"/>
      <c r="N1640" s="91" t="n"/>
      <c r="O1640" s="91" t="n"/>
      <c r="P1640" s="91" t="n"/>
    </row>
    <row r="1641" ht="32" customHeight="1">
      <c r="A1641" s="92" t="n"/>
      <c r="B1641" s="92" t="n"/>
      <c r="C1641" s="92" t="n"/>
      <c r="D1641" s="92" t="n"/>
      <c r="E1641" s="92" t="n"/>
      <c r="F1641" s="96" t="n"/>
      <c r="G1641" s="96" t="n"/>
      <c r="H1641" s="92" t="n"/>
      <c r="I1641" s="92" t="n"/>
      <c r="J1641" s="92" t="n"/>
      <c r="K1641" s="92" t="n"/>
      <c r="L1641" s="92" t="n"/>
      <c r="M1641" s="97" t="n"/>
      <c r="N1641" s="92" t="n"/>
      <c r="O1641" s="92" t="n"/>
      <c r="P1641" s="92" t="n"/>
    </row>
    <row r="1642" ht="32" customHeight="1">
      <c r="A1642" s="91" t="n"/>
      <c r="B1642" s="91" t="n"/>
      <c r="C1642" s="91" t="n"/>
      <c r="D1642" s="91" t="n"/>
      <c r="E1642" s="91" t="n"/>
      <c r="F1642" s="94" t="n"/>
      <c r="G1642" s="94" t="n"/>
      <c r="H1642" s="91" t="n"/>
      <c r="I1642" s="91" t="n"/>
      <c r="J1642" s="91" t="n"/>
      <c r="K1642" s="91" t="n"/>
      <c r="L1642" s="91" t="n"/>
      <c r="M1642" s="95" t="n"/>
      <c r="N1642" s="91" t="n"/>
      <c r="O1642" s="91" t="n"/>
      <c r="P1642" s="91" t="n"/>
    </row>
    <row r="1643" ht="32" customHeight="1">
      <c r="A1643" s="92" t="n"/>
      <c r="B1643" s="92" t="n"/>
      <c r="C1643" s="92" t="n"/>
      <c r="D1643" s="92" t="n"/>
      <c r="E1643" s="92" t="n"/>
      <c r="F1643" s="96" t="n"/>
      <c r="G1643" s="96" t="n"/>
      <c r="H1643" s="92" t="n"/>
      <c r="I1643" s="92" t="n"/>
      <c r="J1643" s="92" t="n"/>
      <c r="K1643" s="92" t="n"/>
      <c r="L1643" s="92" t="n"/>
      <c r="M1643" s="97" t="n"/>
      <c r="N1643" s="92" t="n"/>
      <c r="O1643" s="92" t="n"/>
      <c r="P1643" s="92" t="n"/>
    </row>
    <row r="1644" ht="32" customHeight="1">
      <c r="A1644" s="91" t="n"/>
      <c r="B1644" s="91" t="n"/>
      <c r="C1644" s="91" t="n"/>
      <c r="D1644" s="91" t="n"/>
      <c r="E1644" s="91" t="n"/>
      <c r="F1644" s="94" t="n"/>
      <c r="G1644" s="94" t="n"/>
      <c r="H1644" s="91" t="n"/>
      <c r="I1644" s="91" t="n"/>
      <c r="J1644" s="91" t="n"/>
      <c r="K1644" s="91" t="n"/>
      <c r="L1644" s="91" t="n"/>
      <c r="M1644" s="95" t="n"/>
      <c r="N1644" s="91" t="n"/>
      <c r="O1644" s="91" t="n"/>
      <c r="P1644" s="91" t="n"/>
    </row>
    <row r="1645" ht="32" customHeight="1">
      <c r="A1645" s="92" t="n"/>
      <c r="B1645" s="92" t="n"/>
      <c r="C1645" s="92" t="n"/>
      <c r="D1645" s="92" t="n"/>
      <c r="E1645" s="92" t="n"/>
      <c r="F1645" s="96" t="n"/>
      <c r="G1645" s="96" t="n"/>
      <c r="H1645" s="92" t="n"/>
      <c r="I1645" s="92" t="n"/>
      <c r="J1645" s="92" t="n"/>
      <c r="K1645" s="92" t="n"/>
      <c r="L1645" s="92" t="n"/>
      <c r="M1645" s="97" t="n"/>
      <c r="N1645" s="92" t="n"/>
      <c r="O1645" s="92" t="n"/>
      <c r="P1645" s="92" t="n"/>
    </row>
    <row r="1646" ht="32" customHeight="1">
      <c r="A1646" s="91" t="n"/>
      <c r="B1646" s="91" t="n"/>
      <c r="C1646" s="91" t="n"/>
      <c r="D1646" s="91" t="n"/>
      <c r="E1646" s="91" t="n"/>
      <c r="F1646" s="94" t="n"/>
      <c r="G1646" s="94" t="n"/>
      <c r="H1646" s="91" t="n"/>
      <c r="I1646" s="91" t="n"/>
      <c r="J1646" s="91" t="n"/>
      <c r="K1646" s="91" t="n"/>
      <c r="L1646" s="91" t="n"/>
      <c r="M1646" s="95" t="n"/>
      <c r="N1646" s="91" t="n"/>
      <c r="O1646" s="91" t="n"/>
      <c r="P1646" s="91" t="n"/>
    </row>
    <row r="1647" ht="32" customHeight="1">
      <c r="A1647" s="92" t="n"/>
      <c r="B1647" s="92" t="n"/>
      <c r="C1647" s="92" t="n"/>
      <c r="D1647" s="92" t="n"/>
      <c r="E1647" s="92" t="n"/>
      <c r="F1647" s="96" t="n"/>
      <c r="G1647" s="96" t="n"/>
      <c r="H1647" s="92" t="n"/>
      <c r="I1647" s="92" t="n"/>
      <c r="J1647" s="92" t="n"/>
      <c r="K1647" s="92" t="n"/>
      <c r="L1647" s="92" t="n"/>
      <c r="M1647" s="97" t="n"/>
      <c r="N1647" s="92" t="n"/>
      <c r="O1647" s="92" t="n"/>
      <c r="P1647" s="92" t="n"/>
    </row>
    <row r="1648" ht="32" customHeight="1">
      <c r="A1648" s="91" t="n"/>
      <c r="B1648" s="91" t="n"/>
      <c r="C1648" s="91" t="n"/>
      <c r="D1648" s="91" t="n"/>
      <c r="E1648" s="91" t="n"/>
      <c r="F1648" s="94" t="n"/>
      <c r="G1648" s="94" t="n"/>
      <c r="H1648" s="91" t="n"/>
      <c r="I1648" s="91" t="n"/>
      <c r="J1648" s="91" t="n"/>
      <c r="K1648" s="91" t="n"/>
      <c r="L1648" s="91" t="n"/>
      <c r="M1648" s="95" t="n"/>
      <c r="N1648" s="91" t="n"/>
      <c r="O1648" s="91" t="n"/>
      <c r="P1648" s="91" t="n"/>
    </row>
    <row r="1649" ht="32" customHeight="1">
      <c r="A1649" s="92" t="n"/>
      <c r="B1649" s="92" t="n"/>
      <c r="C1649" s="92" t="n"/>
      <c r="D1649" s="92" t="n"/>
      <c r="E1649" s="92" t="n"/>
      <c r="F1649" s="96" t="n"/>
      <c r="G1649" s="96" t="n"/>
      <c r="H1649" s="92" t="n"/>
      <c r="I1649" s="92" t="n"/>
      <c r="J1649" s="92" t="n"/>
      <c r="K1649" s="92" t="n"/>
      <c r="L1649" s="92" t="n"/>
      <c r="M1649" s="97" t="n"/>
      <c r="N1649" s="92" t="n"/>
      <c r="O1649" s="92" t="n"/>
      <c r="P1649" s="92" t="n"/>
    </row>
    <row r="1650" ht="32" customHeight="1">
      <c r="A1650" s="91" t="n"/>
      <c r="B1650" s="91" t="n"/>
      <c r="C1650" s="91" t="n"/>
      <c r="D1650" s="91" t="n"/>
      <c r="E1650" s="91" t="n"/>
      <c r="F1650" s="94" t="n"/>
      <c r="G1650" s="94" t="n"/>
      <c r="H1650" s="91" t="n"/>
      <c r="I1650" s="91" t="n"/>
      <c r="J1650" s="91" t="n"/>
      <c r="K1650" s="91" t="n"/>
      <c r="L1650" s="91" t="n"/>
      <c r="M1650" s="95" t="n"/>
      <c r="N1650" s="91" t="n"/>
      <c r="O1650" s="91" t="n"/>
      <c r="P1650" s="91" t="n"/>
    </row>
    <row r="1651" ht="32" customHeight="1">
      <c r="A1651" s="92" t="n"/>
      <c r="B1651" s="92" t="n"/>
      <c r="C1651" s="92" t="n"/>
      <c r="D1651" s="92" t="n"/>
      <c r="E1651" s="92" t="n"/>
      <c r="F1651" s="96" t="n"/>
      <c r="G1651" s="96" t="n"/>
      <c r="H1651" s="92" t="n"/>
      <c r="I1651" s="92" t="n"/>
      <c r="J1651" s="92" t="n"/>
      <c r="K1651" s="92" t="n"/>
      <c r="L1651" s="92" t="n"/>
      <c r="M1651" s="97" t="n"/>
      <c r="N1651" s="92" t="n"/>
      <c r="O1651" s="92" t="n"/>
      <c r="P1651" s="92" t="n"/>
    </row>
    <row r="1652" ht="32" customHeight="1">
      <c r="A1652" s="91" t="n"/>
      <c r="B1652" s="91" t="n"/>
      <c r="C1652" s="91" t="n"/>
      <c r="D1652" s="91" t="n"/>
      <c r="E1652" s="91" t="n"/>
      <c r="F1652" s="94" t="n"/>
      <c r="G1652" s="94" t="n"/>
      <c r="H1652" s="91" t="n"/>
      <c r="I1652" s="91" t="n"/>
      <c r="J1652" s="91" t="n"/>
      <c r="K1652" s="91" t="n"/>
      <c r="L1652" s="91" t="n"/>
      <c r="M1652" s="95" t="n"/>
      <c r="N1652" s="91" t="n"/>
      <c r="O1652" s="91" t="n"/>
      <c r="P1652" s="91" t="n"/>
    </row>
    <row r="1653" ht="32" customHeight="1">
      <c r="A1653" s="92" t="n"/>
      <c r="B1653" s="92" t="n"/>
      <c r="C1653" s="92" t="n"/>
      <c r="D1653" s="92" t="n"/>
      <c r="E1653" s="92" t="n"/>
      <c r="F1653" s="96" t="n"/>
      <c r="G1653" s="96" t="n"/>
      <c r="H1653" s="92" t="n"/>
      <c r="I1653" s="92" t="n"/>
      <c r="J1653" s="92" t="n"/>
      <c r="K1653" s="92" t="n"/>
      <c r="L1653" s="92" t="n"/>
      <c r="M1653" s="97" t="n"/>
      <c r="N1653" s="92" t="n"/>
      <c r="O1653" s="92" t="n"/>
      <c r="P1653" s="92" t="n"/>
    </row>
    <row r="1654" ht="32" customHeight="1">
      <c r="A1654" s="91" t="n"/>
      <c r="B1654" s="91" t="n"/>
      <c r="C1654" s="91" t="n"/>
      <c r="D1654" s="91" t="n"/>
      <c r="E1654" s="91" t="n"/>
      <c r="F1654" s="94" t="n"/>
      <c r="G1654" s="94" t="n"/>
      <c r="H1654" s="91" t="n"/>
      <c r="I1654" s="91" t="n"/>
      <c r="J1654" s="91" t="n"/>
      <c r="K1654" s="91" t="n"/>
      <c r="L1654" s="91" t="n"/>
      <c r="M1654" s="95" t="n"/>
      <c r="N1654" s="91" t="n"/>
      <c r="O1654" s="91" t="n"/>
      <c r="P1654" s="91" t="n"/>
    </row>
    <row r="1655" ht="32" customHeight="1">
      <c r="A1655" s="92" t="n"/>
      <c r="B1655" s="92" t="n"/>
      <c r="C1655" s="92" t="n"/>
      <c r="D1655" s="92" t="n"/>
      <c r="E1655" s="92" t="n"/>
      <c r="F1655" s="96" t="n"/>
      <c r="G1655" s="96" t="n"/>
      <c r="H1655" s="92" t="n"/>
      <c r="I1655" s="92" t="n"/>
      <c r="J1655" s="92" t="n"/>
      <c r="K1655" s="92" t="n"/>
      <c r="L1655" s="92" t="n"/>
      <c r="M1655" s="97" t="n"/>
      <c r="N1655" s="92" t="n"/>
      <c r="O1655" s="92" t="n"/>
      <c r="P1655" s="92" t="n"/>
    </row>
    <row r="1656" ht="32" customHeight="1">
      <c r="A1656" s="91" t="n"/>
      <c r="B1656" s="91" t="n"/>
      <c r="C1656" s="91" t="n"/>
      <c r="D1656" s="91" t="n"/>
      <c r="E1656" s="91" t="n"/>
      <c r="F1656" s="94" t="n"/>
      <c r="G1656" s="94" t="n"/>
      <c r="H1656" s="91" t="n"/>
      <c r="I1656" s="91" t="n"/>
      <c r="J1656" s="91" t="n"/>
      <c r="K1656" s="91" t="n"/>
      <c r="L1656" s="91" t="n"/>
      <c r="M1656" s="95" t="n"/>
      <c r="N1656" s="91" t="n"/>
      <c r="O1656" s="91" t="n"/>
      <c r="P1656" s="91" t="n"/>
    </row>
    <row r="1657" ht="32" customHeight="1">
      <c r="A1657" s="92" t="n"/>
      <c r="B1657" s="92" t="n"/>
      <c r="C1657" s="92" t="n"/>
      <c r="D1657" s="92" t="n"/>
      <c r="E1657" s="92" t="n"/>
      <c r="F1657" s="96" t="n"/>
      <c r="G1657" s="96" t="n"/>
      <c r="H1657" s="92" t="n"/>
      <c r="I1657" s="92" t="n"/>
      <c r="J1657" s="92" t="n"/>
      <c r="K1657" s="92" t="n"/>
      <c r="L1657" s="92" t="n"/>
      <c r="M1657" s="97" t="n"/>
      <c r="N1657" s="92" t="n"/>
      <c r="O1657" s="92" t="n"/>
      <c r="P1657" s="92" t="n"/>
    </row>
    <row r="1658" ht="32" customHeight="1">
      <c r="A1658" s="91" t="n"/>
      <c r="B1658" s="91" t="n"/>
      <c r="C1658" s="91" t="n"/>
      <c r="D1658" s="91" t="n"/>
      <c r="E1658" s="91" t="n"/>
      <c r="F1658" s="94" t="n"/>
      <c r="G1658" s="94" t="n"/>
      <c r="H1658" s="91" t="n"/>
      <c r="I1658" s="91" t="n"/>
      <c r="J1658" s="91" t="n"/>
      <c r="K1658" s="91" t="n"/>
      <c r="L1658" s="91" t="n"/>
      <c r="M1658" s="95" t="n"/>
      <c r="N1658" s="91" t="n"/>
      <c r="O1658" s="91" t="n"/>
      <c r="P1658" s="91" t="n"/>
    </row>
    <row r="1659" ht="32" customHeight="1">
      <c r="A1659" s="92" t="n"/>
      <c r="B1659" s="92" t="n"/>
      <c r="C1659" s="92" t="n"/>
      <c r="D1659" s="92" t="n"/>
      <c r="E1659" s="92" t="n"/>
      <c r="F1659" s="96" t="n"/>
      <c r="G1659" s="96" t="n"/>
      <c r="H1659" s="92" t="n"/>
      <c r="I1659" s="92" t="n"/>
      <c r="J1659" s="92" t="n"/>
      <c r="K1659" s="92" t="n"/>
      <c r="L1659" s="92" t="n"/>
      <c r="M1659" s="97" t="n"/>
      <c r="N1659" s="92" t="n"/>
      <c r="O1659" s="92" t="n"/>
      <c r="P1659" s="92" t="n"/>
    </row>
    <row r="1660" ht="32" customHeight="1">
      <c r="A1660" s="91" t="n"/>
      <c r="B1660" s="91" t="n"/>
      <c r="C1660" s="91" t="n"/>
      <c r="D1660" s="91" t="n"/>
      <c r="E1660" s="91" t="n"/>
      <c r="F1660" s="94" t="n"/>
      <c r="G1660" s="94" t="n"/>
      <c r="H1660" s="91" t="n"/>
      <c r="I1660" s="91" t="n"/>
      <c r="J1660" s="91" t="n"/>
      <c r="K1660" s="91" t="n"/>
      <c r="L1660" s="91" t="n"/>
      <c r="M1660" s="95" t="n"/>
      <c r="N1660" s="91" t="n"/>
      <c r="O1660" s="91" t="n"/>
      <c r="P1660" s="91" t="n"/>
    </row>
    <row r="1661" ht="32" customHeight="1">
      <c r="A1661" s="92" t="n"/>
      <c r="B1661" s="92" t="n"/>
      <c r="C1661" s="92" t="n"/>
      <c r="D1661" s="92" t="n"/>
      <c r="E1661" s="92" t="n"/>
      <c r="F1661" s="96" t="n"/>
      <c r="G1661" s="96" t="n"/>
      <c r="H1661" s="92" t="n"/>
      <c r="I1661" s="92" t="n"/>
      <c r="J1661" s="92" t="n"/>
      <c r="K1661" s="92" t="n"/>
      <c r="L1661" s="92" t="n"/>
      <c r="M1661" s="97" t="n"/>
      <c r="N1661" s="92" t="n"/>
      <c r="O1661" s="92" t="n"/>
      <c r="P1661" s="92" t="n"/>
    </row>
    <row r="1662" ht="32" customHeight="1">
      <c r="A1662" s="91" t="n"/>
      <c r="B1662" s="91" t="n"/>
      <c r="C1662" s="91" t="n"/>
      <c r="D1662" s="91" t="n"/>
      <c r="E1662" s="91" t="n"/>
      <c r="F1662" s="94" t="n"/>
      <c r="G1662" s="94" t="n"/>
      <c r="H1662" s="91" t="n"/>
      <c r="I1662" s="91" t="n"/>
      <c r="J1662" s="91" t="n"/>
      <c r="K1662" s="91" t="n"/>
      <c r="L1662" s="91" t="n"/>
      <c r="M1662" s="95" t="n"/>
      <c r="N1662" s="91" t="n"/>
      <c r="O1662" s="91" t="n"/>
      <c r="P1662" s="91" t="n"/>
    </row>
    <row r="1663" ht="32" customHeight="1">
      <c r="A1663" s="92" t="n"/>
      <c r="B1663" s="92" t="n"/>
      <c r="C1663" s="92" t="n"/>
      <c r="D1663" s="92" t="n"/>
      <c r="E1663" s="92" t="n"/>
      <c r="F1663" s="96" t="n"/>
      <c r="G1663" s="96" t="n"/>
      <c r="H1663" s="92" t="n"/>
      <c r="I1663" s="92" t="n"/>
      <c r="J1663" s="92" t="n"/>
      <c r="K1663" s="92" t="n"/>
      <c r="L1663" s="92" t="n"/>
      <c r="M1663" s="97" t="n"/>
      <c r="N1663" s="92" t="n"/>
      <c r="O1663" s="92" t="n"/>
      <c r="P1663" s="92" t="n"/>
    </row>
    <row r="1664" ht="32" customHeight="1">
      <c r="A1664" s="91" t="n"/>
      <c r="B1664" s="91" t="n"/>
      <c r="C1664" s="91" t="n"/>
      <c r="D1664" s="91" t="n"/>
      <c r="E1664" s="91" t="n"/>
      <c r="F1664" s="94" t="n"/>
      <c r="G1664" s="94" t="n"/>
      <c r="H1664" s="91" t="n"/>
      <c r="I1664" s="91" t="n"/>
      <c r="J1664" s="91" t="n"/>
      <c r="K1664" s="91" t="n"/>
      <c r="L1664" s="91" t="n"/>
      <c r="M1664" s="95" t="n"/>
      <c r="N1664" s="91" t="n"/>
      <c r="O1664" s="91" t="n"/>
      <c r="P1664" s="91" t="n"/>
    </row>
    <row r="1665" ht="32" customHeight="1">
      <c r="A1665" s="92" t="n"/>
      <c r="B1665" s="92" t="n"/>
      <c r="C1665" s="92" t="n"/>
      <c r="D1665" s="92" t="n"/>
      <c r="E1665" s="92" t="n"/>
      <c r="F1665" s="96" t="n"/>
      <c r="G1665" s="96" t="n"/>
      <c r="H1665" s="92" t="n"/>
      <c r="I1665" s="92" t="n"/>
      <c r="J1665" s="92" t="n"/>
      <c r="K1665" s="92" t="n"/>
      <c r="L1665" s="92" t="n"/>
      <c r="M1665" s="97" t="n"/>
      <c r="N1665" s="92" t="n"/>
      <c r="O1665" s="92" t="n"/>
      <c r="P1665" s="92" t="n"/>
    </row>
    <row r="1666" ht="32" customHeight="1">
      <c r="A1666" s="91" t="n"/>
      <c r="B1666" s="91" t="n"/>
      <c r="C1666" s="91" t="n"/>
      <c r="D1666" s="91" t="n"/>
      <c r="E1666" s="91" t="n"/>
      <c r="F1666" s="94" t="n"/>
      <c r="G1666" s="94" t="n"/>
      <c r="H1666" s="91" t="n"/>
      <c r="I1666" s="91" t="n"/>
      <c r="J1666" s="91" t="n"/>
      <c r="K1666" s="91" t="n"/>
      <c r="L1666" s="91" t="n"/>
      <c r="M1666" s="95" t="n"/>
      <c r="N1666" s="91" t="n"/>
      <c r="O1666" s="91" t="n"/>
      <c r="P1666" s="91" t="n"/>
    </row>
    <row r="1667" ht="32" customHeight="1">
      <c r="A1667" s="92" t="n"/>
      <c r="B1667" s="92" t="n"/>
      <c r="C1667" s="92" t="n"/>
      <c r="D1667" s="92" t="n"/>
      <c r="E1667" s="92" t="n"/>
      <c r="F1667" s="96" t="n"/>
      <c r="G1667" s="96" t="n"/>
      <c r="H1667" s="92" t="n"/>
      <c r="I1667" s="92" t="n"/>
      <c r="J1667" s="92" t="n"/>
      <c r="K1667" s="92" t="n"/>
      <c r="L1667" s="92" t="n"/>
      <c r="M1667" s="97" t="n"/>
      <c r="N1667" s="92" t="n"/>
      <c r="O1667" s="92" t="n"/>
      <c r="P1667" s="92" t="n"/>
    </row>
    <row r="1668" ht="32" customHeight="1">
      <c r="A1668" s="91" t="n"/>
      <c r="B1668" s="91" t="n"/>
      <c r="C1668" s="91" t="n"/>
      <c r="D1668" s="91" t="n"/>
      <c r="E1668" s="91" t="n"/>
      <c r="F1668" s="94" t="n"/>
      <c r="G1668" s="94" t="n"/>
      <c r="H1668" s="91" t="n"/>
      <c r="I1668" s="91" t="n"/>
      <c r="J1668" s="91" t="n"/>
      <c r="K1668" s="91" t="n"/>
      <c r="L1668" s="91" t="n"/>
      <c r="M1668" s="95" t="n"/>
      <c r="N1668" s="91" t="n"/>
      <c r="O1668" s="91" t="n"/>
      <c r="P1668" s="91" t="n"/>
    </row>
    <row r="1669" ht="32" customHeight="1">
      <c r="A1669" s="92" t="n"/>
      <c r="B1669" s="92" t="n"/>
      <c r="C1669" s="92" t="n"/>
      <c r="D1669" s="92" t="n"/>
      <c r="E1669" s="92" t="n"/>
      <c r="F1669" s="96" t="n"/>
      <c r="G1669" s="96" t="n"/>
      <c r="H1669" s="92" t="n"/>
      <c r="I1669" s="92" t="n"/>
      <c r="J1669" s="92" t="n"/>
      <c r="K1669" s="92" t="n"/>
      <c r="L1669" s="92" t="n"/>
      <c r="M1669" s="97" t="n"/>
      <c r="N1669" s="92" t="n"/>
      <c r="O1669" s="92" t="n"/>
      <c r="P1669" s="92" t="n"/>
    </row>
    <row r="1670" ht="32" customHeight="1">
      <c r="A1670" s="91" t="n"/>
      <c r="B1670" s="91" t="n"/>
      <c r="C1670" s="91" t="n"/>
      <c r="D1670" s="91" t="n"/>
      <c r="E1670" s="91" t="n"/>
      <c r="F1670" s="94" t="n"/>
      <c r="G1670" s="94" t="n"/>
      <c r="H1670" s="91" t="n"/>
      <c r="I1670" s="91" t="n"/>
      <c r="J1670" s="91" t="n"/>
      <c r="K1670" s="91" t="n"/>
      <c r="L1670" s="91" t="n"/>
      <c r="M1670" s="95" t="n"/>
      <c r="N1670" s="91" t="n"/>
      <c r="O1670" s="91" t="n"/>
      <c r="P1670" s="91" t="n"/>
    </row>
    <row r="1671" ht="32" customHeight="1">
      <c r="A1671" s="92" t="n"/>
      <c r="B1671" s="92" t="n"/>
      <c r="C1671" s="92" t="n"/>
      <c r="D1671" s="92" t="n"/>
      <c r="E1671" s="92" t="n"/>
      <c r="F1671" s="96" t="n"/>
      <c r="G1671" s="96" t="n"/>
      <c r="H1671" s="92" t="n"/>
      <c r="I1671" s="92" t="n"/>
      <c r="J1671" s="92" t="n"/>
      <c r="K1671" s="92" t="n"/>
      <c r="L1671" s="92" t="n"/>
      <c r="M1671" s="97" t="n"/>
      <c r="N1671" s="92" t="n"/>
      <c r="O1671" s="92" t="n"/>
      <c r="P1671" s="92" t="n"/>
    </row>
    <row r="1672" ht="32" customHeight="1">
      <c r="A1672" s="91" t="n"/>
      <c r="B1672" s="91" t="n"/>
      <c r="C1672" s="91" t="n"/>
      <c r="D1672" s="91" t="n"/>
      <c r="E1672" s="91" t="n"/>
      <c r="F1672" s="94" t="n"/>
      <c r="G1672" s="94" t="n"/>
      <c r="H1672" s="91" t="n"/>
      <c r="I1672" s="91" t="n"/>
      <c r="J1672" s="91" t="n"/>
      <c r="K1672" s="91" t="n"/>
      <c r="L1672" s="91" t="n"/>
      <c r="M1672" s="95" t="n"/>
      <c r="N1672" s="91" t="n"/>
      <c r="O1672" s="91" t="n"/>
      <c r="P1672" s="91" t="n"/>
    </row>
    <row r="1673" ht="32" customHeight="1">
      <c r="A1673" s="92" t="n"/>
      <c r="B1673" s="92" t="n"/>
      <c r="C1673" s="92" t="n"/>
      <c r="D1673" s="92" t="n"/>
      <c r="E1673" s="92" t="n"/>
      <c r="F1673" s="96" t="n"/>
      <c r="G1673" s="96" t="n"/>
      <c r="H1673" s="92" t="n"/>
      <c r="I1673" s="92" t="n"/>
      <c r="J1673" s="92" t="n"/>
      <c r="K1673" s="92" t="n"/>
      <c r="L1673" s="92" t="n"/>
      <c r="M1673" s="97" t="n"/>
      <c r="N1673" s="92" t="n"/>
      <c r="O1673" s="92" t="n"/>
      <c r="P1673" s="92" t="n"/>
    </row>
    <row r="1674" ht="32" customHeight="1">
      <c r="A1674" s="91" t="n"/>
      <c r="B1674" s="91" t="n"/>
      <c r="C1674" s="91" t="n"/>
      <c r="D1674" s="91" t="n"/>
      <c r="E1674" s="91" t="n"/>
      <c r="F1674" s="94" t="n"/>
      <c r="G1674" s="94" t="n"/>
      <c r="H1674" s="91" t="n"/>
      <c r="I1674" s="91" t="n"/>
      <c r="J1674" s="91" t="n"/>
      <c r="K1674" s="91" t="n"/>
      <c r="L1674" s="91" t="n"/>
      <c r="M1674" s="95" t="n"/>
      <c r="N1674" s="91" t="n"/>
      <c r="O1674" s="91" t="n"/>
      <c r="P1674" s="91" t="n"/>
    </row>
    <row r="1675" ht="32" customHeight="1">
      <c r="A1675" s="92" t="n"/>
      <c r="B1675" s="92" t="n"/>
      <c r="C1675" s="92" t="n"/>
      <c r="D1675" s="92" t="n"/>
      <c r="E1675" s="92" t="n"/>
      <c r="F1675" s="96" t="n"/>
      <c r="G1675" s="96" t="n"/>
      <c r="H1675" s="92" t="n"/>
      <c r="I1675" s="92" t="n"/>
      <c r="J1675" s="92" t="n"/>
      <c r="K1675" s="92" t="n"/>
      <c r="L1675" s="92" t="n"/>
      <c r="M1675" s="97" t="n"/>
      <c r="N1675" s="92" t="n"/>
      <c r="O1675" s="92" t="n"/>
      <c r="P1675" s="92" t="n"/>
    </row>
    <row r="1676" ht="32" customHeight="1">
      <c r="A1676" s="91" t="n"/>
      <c r="B1676" s="91" t="n"/>
      <c r="C1676" s="91" t="n"/>
      <c r="D1676" s="91" t="n"/>
      <c r="E1676" s="91" t="n"/>
      <c r="F1676" s="94" t="n"/>
      <c r="G1676" s="94" t="n"/>
      <c r="H1676" s="91" t="n"/>
      <c r="I1676" s="91" t="n"/>
      <c r="J1676" s="91" t="n"/>
      <c r="K1676" s="91" t="n"/>
      <c r="L1676" s="91" t="n"/>
      <c r="M1676" s="95" t="n"/>
      <c r="N1676" s="91" t="n"/>
      <c r="O1676" s="91" t="n"/>
      <c r="P1676" s="91" t="n"/>
    </row>
    <row r="1677" ht="32" customHeight="1">
      <c r="A1677" s="92" t="n"/>
      <c r="B1677" s="92" t="n"/>
      <c r="C1677" s="92" t="n"/>
      <c r="D1677" s="92" t="n"/>
      <c r="E1677" s="92" t="n"/>
      <c r="F1677" s="96" t="n"/>
      <c r="G1677" s="96" t="n"/>
      <c r="H1677" s="92" t="n"/>
      <c r="I1677" s="92" t="n"/>
      <c r="J1677" s="92" t="n"/>
      <c r="K1677" s="92" t="n"/>
      <c r="L1677" s="92" t="n"/>
      <c r="M1677" s="97" t="n"/>
      <c r="N1677" s="92" t="n"/>
      <c r="O1677" s="92" t="n"/>
      <c r="P1677" s="92" t="n"/>
    </row>
    <row r="1678" ht="32" customHeight="1">
      <c r="A1678" s="91" t="n"/>
      <c r="B1678" s="91" t="n"/>
      <c r="C1678" s="91" t="n"/>
      <c r="D1678" s="91" t="n"/>
      <c r="E1678" s="91" t="n"/>
      <c r="F1678" s="94" t="n"/>
      <c r="G1678" s="94" t="n"/>
      <c r="H1678" s="91" t="n"/>
      <c r="I1678" s="91" t="n"/>
      <c r="J1678" s="91" t="n"/>
      <c r="K1678" s="91" t="n"/>
      <c r="L1678" s="91" t="n"/>
      <c r="M1678" s="95" t="n"/>
      <c r="N1678" s="91" t="n"/>
      <c r="O1678" s="91" t="n"/>
      <c r="P1678" s="91" t="n"/>
    </row>
    <row r="1679" ht="32" customHeight="1">
      <c r="A1679" s="92" t="n"/>
      <c r="B1679" s="92" t="n"/>
      <c r="C1679" s="92" t="n"/>
      <c r="D1679" s="92" t="n"/>
      <c r="E1679" s="92" t="n"/>
      <c r="F1679" s="96" t="n"/>
      <c r="G1679" s="96" t="n"/>
      <c r="H1679" s="92" t="n"/>
      <c r="I1679" s="92" t="n"/>
      <c r="J1679" s="92" t="n"/>
      <c r="K1679" s="92" t="n"/>
      <c r="L1679" s="92" t="n"/>
      <c r="M1679" s="97" t="n"/>
      <c r="N1679" s="92" t="n"/>
      <c r="O1679" s="92" t="n"/>
      <c r="P1679" s="92" t="n"/>
    </row>
    <row r="1680" ht="32" customHeight="1">
      <c r="A1680" s="91" t="n"/>
      <c r="B1680" s="91" t="n"/>
      <c r="C1680" s="91" t="n"/>
      <c r="D1680" s="91" t="n"/>
      <c r="E1680" s="91" t="n"/>
      <c r="F1680" s="94" t="n"/>
      <c r="G1680" s="94" t="n"/>
      <c r="H1680" s="91" t="n"/>
      <c r="I1680" s="91" t="n"/>
      <c r="J1680" s="91" t="n"/>
      <c r="K1680" s="91" t="n"/>
      <c r="L1680" s="91" t="n"/>
      <c r="M1680" s="95" t="n"/>
      <c r="N1680" s="91" t="n"/>
      <c r="O1680" s="91" t="n"/>
      <c r="P1680" s="91" t="n"/>
    </row>
    <row r="1681" ht="32" customHeight="1">
      <c r="A1681" s="92" t="n"/>
      <c r="B1681" s="92" t="n"/>
      <c r="C1681" s="92" t="n"/>
      <c r="D1681" s="92" t="n"/>
      <c r="E1681" s="92" t="n"/>
      <c r="F1681" s="96" t="n"/>
      <c r="G1681" s="96" t="n"/>
      <c r="H1681" s="92" t="n"/>
      <c r="I1681" s="92" t="n"/>
      <c r="J1681" s="92" t="n"/>
      <c r="K1681" s="92" t="n"/>
      <c r="L1681" s="92" t="n"/>
      <c r="M1681" s="97" t="n"/>
      <c r="N1681" s="92" t="n"/>
      <c r="O1681" s="92" t="n"/>
      <c r="P1681" s="92" t="n"/>
    </row>
    <row r="1682" ht="32" customHeight="1">
      <c r="A1682" s="91" t="n"/>
      <c r="B1682" s="91" t="n"/>
      <c r="C1682" s="91" t="n"/>
      <c r="D1682" s="91" t="n"/>
      <c r="E1682" s="91" t="n"/>
      <c r="F1682" s="94" t="n"/>
      <c r="G1682" s="94" t="n"/>
      <c r="H1682" s="91" t="n"/>
      <c r="I1682" s="91" t="n"/>
      <c r="J1682" s="91" t="n"/>
      <c r="K1682" s="91" t="n"/>
      <c r="L1682" s="91" t="n"/>
      <c r="M1682" s="95" t="n"/>
      <c r="N1682" s="91" t="n"/>
      <c r="O1682" s="91" t="n"/>
      <c r="P1682" s="91" t="n"/>
    </row>
    <row r="1683" ht="32" customHeight="1">
      <c r="A1683" s="92" t="n"/>
      <c r="B1683" s="92" t="n"/>
      <c r="C1683" s="92" t="n"/>
      <c r="D1683" s="92" t="n"/>
      <c r="E1683" s="92" t="n"/>
      <c r="F1683" s="96" t="n"/>
      <c r="G1683" s="96" t="n"/>
      <c r="H1683" s="92" t="n"/>
      <c r="I1683" s="92" t="n"/>
      <c r="J1683" s="92" t="n"/>
      <c r="K1683" s="92" t="n"/>
      <c r="L1683" s="92" t="n"/>
      <c r="M1683" s="97" t="n"/>
      <c r="N1683" s="92" t="n"/>
      <c r="O1683" s="92" t="n"/>
      <c r="P1683" s="92" t="n"/>
    </row>
    <row r="1684" ht="32" customHeight="1">
      <c r="A1684" s="91" t="n"/>
      <c r="B1684" s="91" t="n"/>
      <c r="C1684" s="91" t="n"/>
      <c r="D1684" s="91" t="n"/>
      <c r="E1684" s="91" t="n"/>
      <c r="F1684" s="94" t="n"/>
      <c r="G1684" s="94" t="n"/>
      <c r="H1684" s="91" t="n"/>
      <c r="I1684" s="91" t="n"/>
      <c r="J1684" s="91" t="n"/>
      <c r="K1684" s="91" t="n"/>
      <c r="L1684" s="91" t="n"/>
      <c r="M1684" s="95" t="n"/>
      <c r="N1684" s="91" t="n"/>
      <c r="O1684" s="91" t="n"/>
      <c r="P1684" s="91" t="n"/>
    </row>
    <row r="1685" ht="32" customHeight="1">
      <c r="A1685" s="92" t="n"/>
      <c r="B1685" s="92" t="n"/>
      <c r="C1685" s="92" t="n"/>
      <c r="D1685" s="92" t="n"/>
      <c r="E1685" s="92" t="n"/>
      <c r="F1685" s="96" t="n"/>
      <c r="G1685" s="96" t="n"/>
      <c r="H1685" s="92" t="n"/>
      <c r="I1685" s="92" t="n"/>
      <c r="J1685" s="92" t="n"/>
      <c r="K1685" s="92" t="n"/>
      <c r="L1685" s="92" t="n"/>
      <c r="M1685" s="97" t="n"/>
      <c r="N1685" s="92" t="n"/>
      <c r="O1685" s="92" t="n"/>
      <c r="P1685" s="92" t="n"/>
    </row>
    <row r="1686" ht="32" customHeight="1">
      <c r="A1686" s="91" t="n"/>
      <c r="B1686" s="91" t="n"/>
      <c r="C1686" s="91" t="n"/>
      <c r="D1686" s="91" t="n"/>
      <c r="E1686" s="91" t="n"/>
      <c r="F1686" s="94" t="n"/>
      <c r="G1686" s="94" t="n"/>
      <c r="H1686" s="91" t="n"/>
      <c r="I1686" s="91" t="n"/>
      <c r="J1686" s="91" t="n"/>
      <c r="K1686" s="91" t="n"/>
      <c r="L1686" s="91" t="n"/>
      <c r="M1686" s="95" t="n"/>
      <c r="N1686" s="91" t="n"/>
      <c r="O1686" s="91" t="n"/>
      <c r="P1686" s="91" t="n"/>
    </row>
    <row r="1687" ht="32" customHeight="1">
      <c r="A1687" s="92" t="n"/>
      <c r="B1687" s="92" t="n"/>
      <c r="C1687" s="92" t="n"/>
      <c r="D1687" s="92" t="n"/>
      <c r="E1687" s="92" t="n"/>
      <c r="F1687" s="96" t="n"/>
      <c r="G1687" s="96" t="n"/>
      <c r="H1687" s="92" t="n"/>
      <c r="I1687" s="92" t="n"/>
      <c r="J1687" s="92" t="n"/>
      <c r="K1687" s="92" t="n"/>
      <c r="L1687" s="92" t="n"/>
      <c r="M1687" s="97" t="n"/>
      <c r="N1687" s="92" t="n"/>
      <c r="O1687" s="92" t="n"/>
      <c r="P1687" s="92" t="n"/>
    </row>
    <row r="1688" ht="32" customHeight="1">
      <c r="A1688" s="91" t="n"/>
      <c r="B1688" s="91" t="n"/>
      <c r="C1688" s="91" t="n"/>
      <c r="D1688" s="91" t="n"/>
      <c r="E1688" s="91" t="n"/>
      <c r="F1688" s="94" t="n"/>
      <c r="G1688" s="94" t="n"/>
      <c r="H1688" s="91" t="n"/>
      <c r="I1688" s="91" t="n"/>
      <c r="J1688" s="91" t="n"/>
      <c r="K1688" s="91" t="n"/>
      <c r="L1688" s="91" t="n"/>
      <c r="M1688" s="95" t="n"/>
      <c r="N1688" s="91" t="n"/>
      <c r="O1688" s="91" t="n"/>
      <c r="P1688" s="91" t="n"/>
    </row>
    <row r="1689" ht="32" customHeight="1">
      <c r="A1689" s="92" t="n"/>
      <c r="B1689" s="92" t="n"/>
      <c r="C1689" s="92" t="n"/>
      <c r="D1689" s="92" t="n"/>
      <c r="E1689" s="92" t="n"/>
      <c r="F1689" s="96" t="n"/>
      <c r="G1689" s="96" t="n"/>
      <c r="H1689" s="92" t="n"/>
      <c r="I1689" s="92" t="n"/>
      <c r="J1689" s="92" t="n"/>
      <c r="K1689" s="92" t="n"/>
      <c r="L1689" s="92" t="n"/>
      <c r="M1689" s="97" t="n"/>
      <c r="N1689" s="92" t="n"/>
      <c r="O1689" s="92" t="n"/>
      <c r="P1689" s="92" t="n"/>
    </row>
    <row r="1690" ht="32" customHeight="1">
      <c r="A1690" s="91" t="n"/>
      <c r="B1690" s="91" t="n"/>
      <c r="C1690" s="91" t="n"/>
      <c r="D1690" s="91" t="n"/>
      <c r="E1690" s="91" t="n"/>
      <c r="F1690" s="94" t="n"/>
      <c r="G1690" s="94" t="n"/>
      <c r="H1690" s="91" t="n"/>
      <c r="I1690" s="91" t="n"/>
      <c r="J1690" s="91" t="n"/>
      <c r="K1690" s="91" t="n"/>
      <c r="L1690" s="91" t="n"/>
      <c r="M1690" s="95" t="n"/>
      <c r="N1690" s="91" t="n"/>
      <c r="O1690" s="91" t="n"/>
      <c r="P1690" s="91" t="n"/>
    </row>
    <row r="1691" ht="32" customHeight="1">
      <c r="A1691" s="92" t="n"/>
      <c r="B1691" s="92" t="n"/>
      <c r="C1691" s="92" t="n"/>
      <c r="D1691" s="92" t="n"/>
      <c r="E1691" s="92" t="n"/>
      <c r="F1691" s="96" t="n"/>
      <c r="G1691" s="96" t="n"/>
      <c r="H1691" s="92" t="n"/>
      <c r="I1691" s="92" t="n"/>
      <c r="J1691" s="92" t="n"/>
      <c r="K1691" s="92" t="n"/>
      <c r="L1691" s="92" t="n"/>
      <c r="M1691" s="97" t="n"/>
      <c r="N1691" s="92" t="n"/>
      <c r="O1691" s="92" t="n"/>
      <c r="P1691" s="92" t="n"/>
    </row>
    <row r="1692" ht="32" customHeight="1">
      <c r="A1692" s="91" t="n"/>
      <c r="B1692" s="91" t="n"/>
      <c r="C1692" s="91" t="n"/>
      <c r="D1692" s="91" t="n"/>
      <c r="E1692" s="91" t="n"/>
      <c r="F1692" s="94" t="n"/>
      <c r="G1692" s="94" t="n"/>
      <c r="H1692" s="91" t="n"/>
      <c r="I1692" s="91" t="n"/>
      <c r="J1692" s="91" t="n"/>
      <c r="K1692" s="91" t="n"/>
      <c r="L1692" s="91" t="n"/>
      <c r="M1692" s="95" t="n"/>
      <c r="N1692" s="91" t="n"/>
      <c r="O1692" s="91" t="n"/>
      <c r="P1692" s="91" t="n"/>
    </row>
    <row r="1693" ht="32" customHeight="1">
      <c r="A1693" s="92" t="n"/>
      <c r="B1693" s="92" t="n"/>
      <c r="C1693" s="92" t="n"/>
      <c r="D1693" s="92" t="n"/>
      <c r="E1693" s="92" t="n"/>
      <c r="F1693" s="96" t="n"/>
      <c r="G1693" s="96" t="n"/>
      <c r="H1693" s="92" t="n"/>
      <c r="I1693" s="92" t="n"/>
      <c r="J1693" s="92" t="n"/>
      <c r="K1693" s="92" t="n"/>
      <c r="L1693" s="92" t="n"/>
      <c r="M1693" s="97" t="n"/>
      <c r="N1693" s="92" t="n"/>
      <c r="O1693" s="92" t="n"/>
      <c r="P1693" s="92" t="n"/>
    </row>
    <row r="1694" ht="32" customHeight="1">
      <c r="A1694" s="91" t="n"/>
      <c r="B1694" s="91" t="n"/>
      <c r="C1694" s="91" t="n"/>
      <c r="D1694" s="91" t="n"/>
      <c r="E1694" s="91" t="n"/>
      <c r="F1694" s="94" t="n"/>
      <c r="G1694" s="94" t="n"/>
      <c r="H1694" s="91" t="n"/>
      <c r="I1694" s="91" t="n"/>
      <c r="J1694" s="91" t="n"/>
      <c r="K1694" s="91" t="n"/>
      <c r="L1694" s="91" t="n"/>
      <c r="M1694" s="95" t="n"/>
      <c r="N1694" s="91" t="n"/>
      <c r="O1694" s="91" t="n"/>
      <c r="P1694" s="91" t="n"/>
    </row>
    <row r="1695" ht="32" customHeight="1">
      <c r="A1695" s="92" t="n"/>
      <c r="B1695" s="92" t="n"/>
      <c r="C1695" s="92" t="n"/>
      <c r="D1695" s="92" t="n"/>
      <c r="E1695" s="92" t="n"/>
      <c r="F1695" s="96" t="n"/>
      <c r="G1695" s="96" t="n"/>
      <c r="H1695" s="92" t="n"/>
      <c r="I1695" s="92" t="n"/>
      <c r="J1695" s="92" t="n"/>
      <c r="K1695" s="92" t="n"/>
      <c r="L1695" s="92" t="n"/>
      <c r="M1695" s="97" t="n"/>
      <c r="N1695" s="92" t="n"/>
      <c r="O1695" s="92" t="n"/>
      <c r="P1695" s="92" t="n"/>
    </row>
    <row r="1696" ht="32" customHeight="1">
      <c r="A1696" s="91" t="n"/>
      <c r="B1696" s="91" t="n"/>
      <c r="C1696" s="91" t="n"/>
      <c r="D1696" s="91" t="n"/>
      <c r="E1696" s="91" t="n"/>
      <c r="F1696" s="94" t="n"/>
      <c r="G1696" s="94" t="n"/>
      <c r="H1696" s="91" t="n"/>
      <c r="I1696" s="91" t="n"/>
      <c r="J1696" s="91" t="n"/>
      <c r="K1696" s="91" t="n"/>
      <c r="L1696" s="91" t="n"/>
      <c r="M1696" s="95" t="n"/>
      <c r="N1696" s="91" t="n"/>
      <c r="O1696" s="91" t="n"/>
      <c r="P1696" s="91" t="n"/>
    </row>
    <row r="1697" ht="32" customHeight="1">
      <c r="A1697" s="92" t="n"/>
      <c r="B1697" s="92" t="n"/>
      <c r="C1697" s="92" t="n"/>
      <c r="D1697" s="92" t="n"/>
      <c r="E1697" s="92" t="n"/>
      <c r="F1697" s="96" t="n"/>
      <c r="G1697" s="96" t="n"/>
      <c r="H1697" s="92" t="n"/>
      <c r="I1697" s="92" t="n"/>
      <c r="J1697" s="92" t="n"/>
      <c r="K1697" s="92" t="n"/>
      <c r="L1697" s="92" t="n"/>
      <c r="M1697" s="97" t="n"/>
      <c r="N1697" s="92" t="n"/>
      <c r="O1697" s="92" t="n"/>
      <c r="P1697" s="92" t="n"/>
    </row>
    <row r="1698" ht="32" customHeight="1">
      <c r="A1698" s="91" t="n"/>
      <c r="B1698" s="91" t="n"/>
      <c r="C1698" s="91" t="n"/>
      <c r="D1698" s="91" t="n"/>
      <c r="E1698" s="91" t="n"/>
      <c r="F1698" s="94" t="n"/>
      <c r="G1698" s="94" t="n"/>
      <c r="H1698" s="91" t="n"/>
      <c r="I1698" s="91" t="n"/>
      <c r="J1698" s="91" t="n"/>
      <c r="K1698" s="91" t="n"/>
      <c r="L1698" s="91" t="n"/>
      <c r="M1698" s="95" t="n"/>
      <c r="N1698" s="91" t="n"/>
      <c r="O1698" s="91" t="n"/>
      <c r="P1698" s="91" t="n"/>
    </row>
    <row r="1699" ht="32" customHeight="1">
      <c r="A1699" s="92" t="n"/>
      <c r="B1699" s="92" t="n"/>
      <c r="C1699" s="92" t="n"/>
      <c r="D1699" s="92" t="n"/>
      <c r="E1699" s="92" t="n"/>
      <c r="F1699" s="96" t="n"/>
      <c r="G1699" s="96" t="n"/>
      <c r="H1699" s="92" t="n"/>
      <c r="I1699" s="92" t="n"/>
      <c r="J1699" s="92" t="n"/>
      <c r="K1699" s="92" t="n"/>
      <c r="L1699" s="92" t="n"/>
      <c r="M1699" s="97" t="n"/>
      <c r="N1699" s="92" t="n"/>
      <c r="O1699" s="92" t="n"/>
      <c r="P1699" s="92" t="n"/>
    </row>
    <row r="1700" ht="32" customHeight="1">
      <c r="A1700" s="91" t="n"/>
      <c r="B1700" s="91" t="n"/>
      <c r="C1700" s="91" t="n"/>
      <c r="D1700" s="91" t="n"/>
      <c r="E1700" s="91" t="n"/>
      <c r="F1700" s="94" t="n"/>
      <c r="G1700" s="94" t="n"/>
      <c r="H1700" s="91" t="n"/>
      <c r="I1700" s="91" t="n"/>
      <c r="J1700" s="91" t="n"/>
      <c r="K1700" s="91" t="n"/>
      <c r="L1700" s="91" t="n"/>
      <c r="M1700" s="95" t="n"/>
      <c r="N1700" s="91" t="n"/>
      <c r="O1700" s="91" t="n"/>
      <c r="P1700" s="91" t="n"/>
    </row>
    <row r="1701" ht="32" customHeight="1">
      <c r="A1701" s="92" t="n"/>
      <c r="B1701" s="92" t="n"/>
      <c r="C1701" s="92" t="n"/>
      <c r="D1701" s="92" t="n"/>
      <c r="E1701" s="92" t="n"/>
      <c r="F1701" s="96" t="n"/>
      <c r="G1701" s="96" t="n"/>
      <c r="H1701" s="92" t="n"/>
      <c r="I1701" s="92" t="n"/>
      <c r="J1701" s="92" t="n"/>
      <c r="K1701" s="92" t="n"/>
      <c r="L1701" s="92" t="n"/>
      <c r="M1701" s="97" t="n"/>
      <c r="N1701" s="92" t="n"/>
      <c r="O1701" s="92" t="n"/>
      <c r="P1701" s="92" t="n"/>
    </row>
    <row r="1702" ht="32" customHeight="1">
      <c r="A1702" s="91" t="n"/>
      <c r="B1702" s="91" t="n"/>
      <c r="C1702" s="91" t="n"/>
      <c r="D1702" s="91" t="n"/>
      <c r="E1702" s="91" t="n"/>
      <c r="F1702" s="94" t="n"/>
      <c r="G1702" s="94" t="n"/>
      <c r="H1702" s="91" t="n"/>
      <c r="I1702" s="91" t="n"/>
      <c r="J1702" s="91" t="n"/>
      <c r="K1702" s="91" t="n"/>
      <c r="L1702" s="91" t="n"/>
      <c r="M1702" s="95" t="n"/>
      <c r="N1702" s="91" t="n"/>
      <c r="O1702" s="91" t="n"/>
      <c r="P1702" s="91" t="n"/>
    </row>
    <row r="1703" ht="32" customHeight="1">
      <c r="A1703" s="92" t="n"/>
      <c r="B1703" s="92" t="n"/>
      <c r="C1703" s="92" t="n"/>
      <c r="D1703" s="92" t="n"/>
      <c r="E1703" s="92" t="n"/>
      <c r="F1703" s="96" t="n"/>
      <c r="G1703" s="96" t="n"/>
      <c r="H1703" s="92" t="n"/>
      <c r="I1703" s="92" t="n"/>
      <c r="J1703" s="92" t="n"/>
      <c r="K1703" s="92" t="n"/>
      <c r="L1703" s="92" t="n"/>
      <c r="M1703" s="97" t="n"/>
      <c r="N1703" s="92" t="n"/>
      <c r="O1703" s="92" t="n"/>
      <c r="P1703" s="92" t="n"/>
    </row>
    <row r="1704" ht="32" customHeight="1">
      <c r="A1704" s="91" t="n"/>
      <c r="B1704" s="91" t="n"/>
      <c r="C1704" s="91" t="n"/>
      <c r="D1704" s="91" t="n"/>
      <c r="E1704" s="91" t="n"/>
      <c r="F1704" s="94" t="n"/>
      <c r="G1704" s="94" t="n"/>
      <c r="H1704" s="91" t="n"/>
      <c r="I1704" s="91" t="n"/>
      <c r="J1704" s="91" t="n"/>
      <c r="K1704" s="91" t="n"/>
      <c r="L1704" s="91" t="n"/>
      <c r="M1704" s="95" t="n"/>
      <c r="N1704" s="91" t="n"/>
      <c r="O1704" s="91" t="n"/>
      <c r="P1704" s="91" t="n"/>
    </row>
    <row r="1705" ht="32" customHeight="1">
      <c r="A1705" s="92" t="n"/>
      <c r="B1705" s="92" t="n"/>
      <c r="C1705" s="92" t="n"/>
      <c r="D1705" s="92" t="n"/>
      <c r="E1705" s="92" t="n"/>
      <c r="F1705" s="96" t="n"/>
      <c r="G1705" s="96" t="n"/>
      <c r="H1705" s="92" t="n"/>
      <c r="I1705" s="92" t="n"/>
      <c r="J1705" s="92" t="n"/>
      <c r="K1705" s="92" t="n"/>
      <c r="L1705" s="92" t="n"/>
      <c r="M1705" s="97" t="n"/>
      <c r="N1705" s="92" t="n"/>
      <c r="O1705" s="92" t="n"/>
      <c r="P1705" s="92" t="n"/>
    </row>
    <row r="1706" ht="32" customHeight="1">
      <c r="A1706" s="91" t="n"/>
      <c r="B1706" s="91" t="n"/>
      <c r="C1706" s="91" t="n"/>
      <c r="D1706" s="91" t="n"/>
      <c r="E1706" s="91" t="n"/>
      <c r="F1706" s="94" t="n"/>
      <c r="G1706" s="94" t="n"/>
      <c r="H1706" s="91" t="n"/>
      <c r="I1706" s="91" t="n"/>
      <c r="J1706" s="91" t="n"/>
      <c r="K1706" s="91" t="n"/>
      <c r="L1706" s="91" t="n"/>
      <c r="M1706" s="95" t="n"/>
      <c r="N1706" s="91" t="n"/>
      <c r="O1706" s="91" t="n"/>
      <c r="P1706" s="91" t="n"/>
    </row>
    <row r="1707" ht="32" customHeight="1">
      <c r="A1707" s="92" t="n"/>
      <c r="B1707" s="92" t="n"/>
      <c r="C1707" s="92" t="n"/>
      <c r="D1707" s="92" t="n"/>
      <c r="E1707" s="92" t="n"/>
      <c r="F1707" s="96" t="n"/>
      <c r="G1707" s="96" t="n"/>
      <c r="H1707" s="92" t="n"/>
      <c r="I1707" s="92" t="n"/>
      <c r="J1707" s="92" t="n"/>
      <c r="K1707" s="92" t="n"/>
      <c r="L1707" s="92" t="n"/>
      <c r="M1707" s="97" t="n"/>
      <c r="N1707" s="92" t="n"/>
      <c r="O1707" s="92" t="n"/>
      <c r="P1707" s="92" t="n"/>
    </row>
    <row r="1708" ht="32" customHeight="1">
      <c r="A1708" s="91" t="n"/>
      <c r="B1708" s="91" t="n"/>
      <c r="C1708" s="91" t="n"/>
      <c r="D1708" s="91" t="n"/>
      <c r="E1708" s="91" t="n"/>
      <c r="F1708" s="94" t="n"/>
      <c r="G1708" s="94" t="n"/>
      <c r="H1708" s="91" t="n"/>
      <c r="I1708" s="91" t="n"/>
      <c r="J1708" s="91" t="n"/>
      <c r="K1708" s="91" t="n"/>
      <c r="L1708" s="91" t="n"/>
      <c r="M1708" s="95" t="n"/>
      <c r="N1708" s="91" t="n"/>
      <c r="O1708" s="91" t="n"/>
      <c r="P1708" s="91" t="n"/>
    </row>
    <row r="1709" ht="32" customHeight="1">
      <c r="A1709" s="92" t="n"/>
      <c r="B1709" s="92" t="n"/>
      <c r="C1709" s="92" t="n"/>
      <c r="D1709" s="92" t="n"/>
      <c r="E1709" s="92" t="n"/>
      <c r="F1709" s="96" t="n"/>
      <c r="G1709" s="96" t="n"/>
      <c r="H1709" s="92" t="n"/>
      <c r="I1709" s="92" t="n"/>
      <c r="J1709" s="92" t="n"/>
      <c r="K1709" s="92" t="n"/>
      <c r="L1709" s="92" t="n"/>
      <c r="M1709" s="97" t="n"/>
      <c r="N1709" s="92" t="n"/>
      <c r="O1709" s="92" t="n"/>
      <c r="P1709" s="92" t="n"/>
    </row>
    <row r="1710" ht="32" customHeight="1">
      <c r="A1710" s="91" t="n"/>
      <c r="B1710" s="91" t="n"/>
      <c r="C1710" s="91" t="n"/>
      <c r="D1710" s="91" t="n"/>
      <c r="E1710" s="91" t="n"/>
      <c r="F1710" s="94" t="n"/>
      <c r="G1710" s="94" t="n"/>
      <c r="H1710" s="91" t="n"/>
      <c r="I1710" s="91" t="n"/>
      <c r="J1710" s="91" t="n"/>
      <c r="K1710" s="91" t="n"/>
      <c r="L1710" s="91" t="n"/>
      <c r="M1710" s="95" t="n"/>
      <c r="N1710" s="91" t="n"/>
      <c r="O1710" s="91" t="n"/>
      <c r="P1710" s="91" t="n"/>
    </row>
    <row r="1711" ht="32" customHeight="1">
      <c r="A1711" s="92" t="n"/>
      <c r="B1711" s="92" t="n"/>
      <c r="C1711" s="92" t="n"/>
      <c r="D1711" s="92" t="n"/>
      <c r="E1711" s="92" t="n"/>
      <c r="F1711" s="96" t="n"/>
      <c r="G1711" s="96" t="n"/>
      <c r="H1711" s="92" t="n"/>
      <c r="I1711" s="92" t="n"/>
      <c r="J1711" s="92" t="n"/>
      <c r="K1711" s="92" t="n"/>
      <c r="L1711" s="92" t="n"/>
      <c r="M1711" s="97" t="n"/>
      <c r="N1711" s="92" t="n"/>
      <c r="O1711" s="92" t="n"/>
      <c r="P1711" s="92" t="n"/>
    </row>
    <row r="1712" ht="32" customHeight="1">
      <c r="A1712" s="91" t="n"/>
      <c r="B1712" s="91" t="n"/>
      <c r="C1712" s="91" t="n"/>
      <c r="D1712" s="91" t="n"/>
      <c r="E1712" s="91" t="n"/>
      <c r="F1712" s="94" t="n"/>
      <c r="G1712" s="94" t="n"/>
      <c r="H1712" s="91" t="n"/>
      <c r="I1712" s="91" t="n"/>
      <c r="J1712" s="91" t="n"/>
      <c r="K1712" s="91" t="n"/>
      <c r="L1712" s="91" t="n"/>
      <c r="M1712" s="95" t="n"/>
      <c r="N1712" s="91" t="n"/>
      <c r="O1712" s="91" t="n"/>
      <c r="P1712" s="91" t="n"/>
    </row>
    <row r="1713" ht="32" customHeight="1">
      <c r="A1713" s="92" t="n"/>
      <c r="B1713" s="92" t="n"/>
      <c r="C1713" s="92" t="n"/>
      <c r="D1713" s="92" t="n"/>
      <c r="E1713" s="92" t="n"/>
      <c r="F1713" s="96" t="n"/>
      <c r="G1713" s="96" t="n"/>
      <c r="H1713" s="92" t="n"/>
      <c r="I1713" s="92" t="n"/>
      <c r="J1713" s="92" t="n"/>
      <c r="K1713" s="92" t="n"/>
      <c r="L1713" s="92" t="n"/>
      <c r="M1713" s="97" t="n"/>
      <c r="N1713" s="92" t="n"/>
      <c r="O1713" s="92" t="n"/>
      <c r="P1713" s="92" t="n"/>
    </row>
    <row r="1714" ht="32" customHeight="1">
      <c r="A1714" s="91" t="n"/>
      <c r="B1714" s="91" t="n"/>
      <c r="C1714" s="91" t="n"/>
      <c r="D1714" s="91" t="n"/>
      <c r="E1714" s="91" t="n"/>
      <c r="F1714" s="94" t="n"/>
      <c r="G1714" s="94" t="n"/>
      <c r="H1714" s="91" t="n"/>
      <c r="I1714" s="91" t="n"/>
      <c r="J1714" s="91" t="n"/>
      <c r="K1714" s="91" t="n"/>
      <c r="L1714" s="91" t="n"/>
      <c r="M1714" s="95" t="n"/>
      <c r="N1714" s="91" t="n"/>
      <c r="O1714" s="91" t="n"/>
      <c r="P1714" s="91" t="n"/>
    </row>
    <row r="1715" ht="32" customHeight="1">
      <c r="A1715" s="92" t="n"/>
      <c r="B1715" s="92" t="n"/>
      <c r="C1715" s="92" t="n"/>
      <c r="D1715" s="92" t="n"/>
      <c r="E1715" s="92" t="n"/>
      <c r="F1715" s="96" t="n"/>
      <c r="G1715" s="96" t="n"/>
      <c r="H1715" s="92" t="n"/>
      <c r="I1715" s="92" t="n"/>
      <c r="J1715" s="92" t="n"/>
      <c r="K1715" s="92" t="n"/>
      <c r="L1715" s="92" t="n"/>
      <c r="M1715" s="97" t="n"/>
      <c r="N1715" s="92" t="n"/>
      <c r="O1715" s="92" t="n"/>
      <c r="P1715" s="92" t="n"/>
    </row>
    <row r="1716" ht="32" customHeight="1">
      <c r="A1716" s="91" t="n"/>
      <c r="B1716" s="91" t="n"/>
      <c r="C1716" s="91" t="n"/>
      <c r="D1716" s="91" t="n"/>
      <c r="E1716" s="91" t="n"/>
      <c r="F1716" s="94" t="n"/>
      <c r="G1716" s="94" t="n"/>
      <c r="H1716" s="91" t="n"/>
      <c r="I1716" s="91" t="n"/>
      <c r="J1716" s="91" t="n"/>
      <c r="K1716" s="91" t="n"/>
      <c r="L1716" s="91" t="n"/>
      <c r="M1716" s="95" t="n"/>
      <c r="N1716" s="91" t="n"/>
      <c r="O1716" s="91" t="n"/>
      <c r="P1716" s="91" t="n"/>
    </row>
    <row r="1717" ht="32" customHeight="1">
      <c r="A1717" s="92" t="n"/>
      <c r="B1717" s="92" t="n"/>
      <c r="C1717" s="92" t="n"/>
      <c r="D1717" s="92" t="n"/>
      <c r="E1717" s="92" t="n"/>
      <c r="F1717" s="96" t="n"/>
      <c r="G1717" s="96" t="n"/>
      <c r="H1717" s="92" t="n"/>
      <c r="I1717" s="92" t="n"/>
      <c r="J1717" s="92" t="n"/>
      <c r="K1717" s="92" t="n"/>
      <c r="L1717" s="92" t="n"/>
      <c r="M1717" s="97" t="n"/>
      <c r="N1717" s="92" t="n"/>
      <c r="O1717" s="92" t="n"/>
      <c r="P1717" s="92" t="n"/>
    </row>
    <row r="1718" ht="32" customHeight="1">
      <c r="A1718" s="91" t="n"/>
      <c r="B1718" s="91" t="n"/>
      <c r="C1718" s="91" t="n"/>
      <c r="D1718" s="91" t="n"/>
      <c r="E1718" s="91" t="n"/>
      <c r="F1718" s="94" t="n"/>
      <c r="G1718" s="94" t="n"/>
      <c r="H1718" s="91" t="n"/>
      <c r="I1718" s="91" t="n"/>
      <c r="J1718" s="91" t="n"/>
      <c r="K1718" s="91" t="n"/>
      <c r="L1718" s="91" t="n"/>
      <c r="M1718" s="95" t="n"/>
      <c r="N1718" s="91" t="n"/>
      <c r="O1718" s="91" t="n"/>
      <c r="P1718" s="91" t="n"/>
    </row>
    <row r="1719" ht="32" customHeight="1">
      <c r="A1719" s="92" t="n"/>
      <c r="B1719" s="92" t="n"/>
      <c r="C1719" s="92" t="n"/>
      <c r="D1719" s="92" t="n"/>
      <c r="E1719" s="92" t="n"/>
      <c r="F1719" s="96" t="n"/>
      <c r="G1719" s="96" t="n"/>
      <c r="H1719" s="92" t="n"/>
      <c r="I1719" s="92" t="n"/>
      <c r="J1719" s="92" t="n"/>
      <c r="K1719" s="92" t="n"/>
      <c r="L1719" s="92" t="n"/>
      <c r="M1719" s="97" t="n"/>
      <c r="N1719" s="92" t="n"/>
      <c r="O1719" s="92" t="n"/>
      <c r="P1719" s="92" t="n"/>
    </row>
    <row r="1720" ht="32" customHeight="1">
      <c r="A1720" s="91" t="n"/>
      <c r="B1720" s="91" t="n"/>
      <c r="C1720" s="91" t="n"/>
      <c r="D1720" s="91" t="n"/>
      <c r="E1720" s="91" t="n"/>
      <c r="F1720" s="94" t="n"/>
      <c r="G1720" s="94" t="n"/>
      <c r="H1720" s="91" t="n"/>
      <c r="I1720" s="91" t="n"/>
      <c r="J1720" s="91" t="n"/>
      <c r="K1720" s="91" t="n"/>
      <c r="L1720" s="91" t="n"/>
      <c r="M1720" s="95" t="n"/>
      <c r="N1720" s="91" t="n"/>
      <c r="O1720" s="91" t="n"/>
      <c r="P1720" s="91" t="n"/>
    </row>
    <row r="1721" ht="32" customHeight="1">
      <c r="A1721" s="92" t="n"/>
      <c r="B1721" s="92" t="n"/>
      <c r="C1721" s="92" t="n"/>
      <c r="D1721" s="92" t="n"/>
      <c r="E1721" s="92" t="n"/>
      <c r="F1721" s="96" t="n"/>
      <c r="G1721" s="96" t="n"/>
      <c r="H1721" s="92" t="n"/>
      <c r="I1721" s="92" t="n"/>
      <c r="J1721" s="92" t="n"/>
      <c r="K1721" s="92" t="n"/>
      <c r="L1721" s="92" t="n"/>
      <c r="M1721" s="97" t="n"/>
      <c r="N1721" s="92" t="n"/>
      <c r="O1721" s="92" t="n"/>
      <c r="P1721" s="92" t="n"/>
    </row>
    <row r="1722" ht="32" customHeight="1">
      <c r="A1722" s="91" t="n"/>
      <c r="B1722" s="91" t="n"/>
      <c r="C1722" s="91" t="n"/>
      <c r="D1722" s="91" t="n"/>
      <c r="E1722" s="91" t="n"/>
      <c r="F1722" s="94" t="n"/>
      <c r="G1722" s="94" t="n"/>
      <c r="H1722" s="91" t="n"/>
      <c r="I1722" s="91" t="n"/>
      <c r="J1722" s="91" t="n"/>
      <c r="K1722" s="91" t="n"/>
      <c r="L1722" s="91" t="n"/>
      <c r="M1722" s="95" t="n"/>
      <c r="N1722" s="91" t="n"/>
      <c r="O1722" s="91" t="n"/>
      <c r="P1722" s="91" t="n"/>
    </row>
    <row r="1723" ht="32" customHeight="1">
      <c r="A1723" s="92" t="n"/>
      <c r="B1723" s="92" t="n"/>
      <c r="C1723" s="92" t="n"/>
      <c r="D1723" s="92" t="n"/>
      <c r="E1723" s="92" t="n"/>
      <c r="F1723" s="96" t="n"/>
      <c r="G1723" s="96" t="n"/>
      <c r="H1723" s="92" t="n"/>
      <c r="I1723" s="92" t="n"/>
      <c r="J1723" s="92" t="n"/>
      <c r="K1723" s="92" t="n"/>
      <c r="L1723" s="92" t="n"/>
      <c r="M1723" s="97" t="n"/>
      <c r="N1723" s="92" t="n"/>
      <c r="O1723" s="92" t="n"/>
      <c r="P1723" s="92" t="n"/>
    </row>
    <row r="1724" ht="32" customHeight="1">
      <c r="A1724" s="91" t="n"/>
      <c r="B1724" s="91" t="n"/>
      <c r="C1724" s="91" t="n"/>
      <c r="D1724" s="91" t="n"/>
      <c r="E1724" s="91" t="n"/>
      <c r="F1724" s="94" t="n"/>
      <c r="G1724" s="94" t="n"/>
      <c r="H1724" s="91" t="n"/>
      <c r="I1724" s="91" t="n"/>
      <c r="J1724" s="91" t="n"/>
      <c r="K1724" s="91" t="n"/>
      <c r="L1724" s="91" t="n"/>
      <c r="M1724" s="95" t="n"/>
      <c r="N1724" s="91" t="n"/>
      <c r="O1724" s="91" t="n"/>
      <c r="P1724" s="91" t="n"/>
    </row>
    <row r="1725" ht="32" customHeight="1">
      <c r="A1725" s="92" t="n"/>
      <c r="B1725" s="92" t="n"/>
      <c r="C1725" s="92" t="n"/>
      <c r="D1725" s="92" t="n"/>
      <c r="E1725" s="92" t="n"/>
      <c r="F1725" s="96" t="n"/>
      <c r="G1725" s="96" t="n"/>
      <c r="H1725" s="92" t="n"/>
      <c r="I1725" s="92" t="n"/>
      <c r="J1725" s="92" t="n"/>
      <c r="K1725" s="92" t="n"/>
      <c r="L1725" s="92" t="n"/>
      <c r="M1725" s="97" t="n"/>
      <c r="N1725" s="92" t="n"/>
      <c r="O1725" s="92" t="n"/>
      <c r="P1725" s="92" t="n"/>
    </row>
    <row r="1726" ht="32" customHeight="1">
      <c r="A1726" s="91" t="n"/>
      <c r="B1726" s="91" t="n"/>
      <c r="C1726" s="91" t="n"/>
      <c r="D1726" s="91" t="n"/>
      <c r="E1726" s="91" t="n"/>
      <c r="F1726" s="94" t="n"/>
      <c r="G1726" s="94" t="n"/>
      <c r="H1726" s="91" t="n"/>
      <c r="I1726" s="91" t="n"/>
      <c r="J1726" s="91" t="n"/>
      <c r="K1726" s="91" t="n"/>
      <c r="L1726" s="91" t="n"/>
      <c r="M1726" s="95" t="n"/>
      <c r="N1726" s="91" t="n"/>
      <c r="O1726" s="91" t="n"/>
      <c r="P1726" s="91" t="n"/>
    </row>
    <row r="1727" ht="32" customHeight="1">
      <c r="A1727" s="92" t="n"/>
      <c r="B1727" s="92" t="n"/>
      <c r="C1727" s="92" t="n"/>
      <c r="D1727" s="92" t="n"/>
      <c r="E1727" s="92" t="n"/>
      <c r="F1727" s="96" t="n"/>
      <c r="G1727" s="96" t="n"/>
      <c r="H1727" s="92" t="n"/>
      <c r="I1727" s="92" t="n"/>
      <c r="J1727" s="92" t="n"/>
      <c r="K1727" s="92" t="n"/>
      <c r="L1727" s="92" t="n"/>
      <c r="M1727" s="97" t="n"/>
      <c r="N1727" s="92" t="n"/>
      <c r="O1727" s="92" t="n"/>
      <c r="P1727" s="92" t="n"/>
    </row>
    <row r="1728" ht="32" customHeight="1">
      <c r="A1728" s="91" t="n"/>
      <c r="B1728" s="91" t="n"/>
      <c r="C1728" s="91" t="n"/>
      <c r="D1728" s="91" t="n"/>
      <c r="E1728" s="91" t="n"/>
      <c r="F1728" s="94" t="n"/>
      <c r="G1728" s="94" t="n"/>
      <c r="H1728" s="91" t="n"/>
      <c r="I1728" s="91" t="n"/>
      <c r="J1728" s="91" t="n"/>
      <c r="K1728" s="91" t="n"/>
      <c r="L1728" s="91" t="n"/>
      <c r="M1728" s="95" t="n"/>
      <c r="N1728" s="91" t="n"/>
      <c r="O1728" s="91" t="n"/>
      <c r="P1728" s="91" t="n"/>
    </row>
    <row r="1729" ht="32" customHeight="1">
      <c r="A1729" s="92" t="n"/>
      <c r="B1729" s="92" t="n"/>
      <c r="C1729" s="92" t="n"/>
      <c r="D1729" s="92" t="n"/>
      <c r="E1729" s="92" t="n"/>
      <c r="F1729" s="96" t="n"/>
      <c r="G1729" s="96" t="n"/>
      <c r="H1729" s="92" t="n"/>
      <c r="I1729" s="92" t="n"/>
      <c r="J1729" s="92" t="n"/>
      <c r="K1729" s="92" t="n"/>
      <c r="L1729" s="92" t="n"/>
      <c r="M1729" s="97" t="n"/>
      <c r="N1729" s="92" t="n"/>
      <c r="O1729" s="92" t="n"/>
      <c r="P1729" s="92" t="n"/>
    </row>
    <row r="1730" ht="32" customHeight="1">
      <c r="A1730" s="91" t="n"/>
      <c r="B1730" s="91" t="n"/>
      <c r="C1730" s="91" t="n"/>
      <c r="D1730" s="91" t="n"/>
      <c r="E1730" s="91" t="n"/>
      <c r="F1730" s="94" t="n"/>
      <c r="G1730" s="94" t="n"/>
      <c r="H1730" s="91" t="n"/>
      <c r="I1730" s="91" t="n"/>
      <c r="J1730" s="91" t="n"/>
      <c r="K1730" s="91" t="n"/>
      <c r="L1730" s="91" t="n"/>
      <c r="M1730" s="95" t="n"/>
      <c r="N1730" s="91" t="n"/>
      <c r="O1730" s="91" t="n"/>
      <c r="P1730" s="91" t="n"/>
    </row>
    <row r="1731" ht="32" customHeight="1">
      <c r="A1731" s="92" t="n"/>
      <c r="B1731" s="92" t="n"/>
      <c r="C1731" s="92" t="n"/>
      <c r="D1731" s="92" t="n"/>
      <c r="E1731" s="92" t="n"/>
      <c r="F1731" s="96" t="n"/>
      <c r="G1731" s="96" t="n"/>
      <c r="H1731" s="92" t="n"/>
      <c r="I1731" s="92" t="n"/>
      <c r="J1731" s="92" t="n"/>
      <c r="K1731" s="92" t="n"/>
      <c r="L1731" s="92" t="n"/>
      <c r="M1731" s="97" t="n"/>
      <c r="N1731" s="92" t="n"/>
      <c r="O1731" s="92" t="n"/>
      <c r="P1731" s="92" t="n"/>
    </row>
    <row r="1732" ht="32" customHeight="1">
      <c r="A1732" s="91" t="n"/>
      <c r="B1732" s="91" t="n"/>
      <c r="C1732" s="91" t="n"/>
      <c r="D1732" s="91" t="n"/>
      <c r="E1732" s="91" t="n"/>
      <c r="F1732" s="94" t="n"/>
      <c r="G1732" s="94" t="n"/>
      <c r="H1732" s="91" t="n"/>
      <c r="I1732" s="91" t="n"/>
      <c r="J1732" s="91" t="n"/>
      <c r="K1732" s="91" t="n"/>
      <c r="L1732" s="91" t="n"/>
      <c r="M1732" s="95" t="n"/>
      <c r="N1732" s="91" t="n"/>
      <c r="O1732" s="91" t="n"/>
      <c r="P1732" s="91" t="n"/>
    </row>
    <row r="1733" ht="32" customHeight="1">
      <c r="A1733" s="92" t="n"/>
      <c r="B1733" s="92" t="n"/>
      <c r="C1733" s="92" t="n"/>
      <c r="D1733" s="92" t="n"/>
      <c r="E1733" s="92" t="n"/>
      <c r="F1733" s="96" t="n"/>
      <c r="G1733" s="96" t="n"/>
      <c r="H1733" s="92" t="n"/>
      <c r="I1733" s="92" t="n"/>
      <c r="J1733" s="92" t="n"/>
      <c r="K1733" s="92" t="n"/>
      <c r="L1733" s="92" t="n"/>
      <c r="M1733" s="97" t="n"/>
      <c r="N1733" s="92" t="n"/>
      <c r="O1733" s="92" t="n"/>
      <c r="P1733" s="92" t="n"/>
    </row>
    <row r="1734" ht="32" customHeight="1">
      <c r="A1734" s="91" t="n"/>
      <c r="B1734" s="91" t="n"/>
      <c r="C1734" s="91" t="n"/>
      <c r="D1734" s="91" t="n"/>
      <c r="E1734" s="91" t="n"/>
      <c r="F1734" s="94" t="n"/>
      <c r="G1734" s="94" t="n"/>
      <c r="H1734" s="91" t="n"/>
      <c r="I1734" s="91" t="n"/>
      <c r="J1734" s="91" t="n"/>
      <c r="K1734" s="91" t="n"/>
      <c r="L1734" s="91" t="n"/>
      <c r="M1734" s="95" t="n"/>
      <c r="N1734" s="91" t="n"/>
      <c r="O1734" s="91" t="n"/>
      <c r="P1734" s="91" t="n"/>
    </row>
    <row r="1735" ht="32" customHeight="1">
      <c r="A1735" s="92" t="n"/>
      <c r="B1735" s="92" t="n"/>
      <c r="C1735" s="92" t="n"/>
      <c r="D1735" s="92" t="n"/>
      <c r="E1735" s="92" t="n"/>
      <c r="F1735" s="96" t="n"/>
      <c r="G1735" s="96" t="n"/>
      <c r="H1735" s="92" t="n"/>
      <c r="I1735" s="92" t="n"/>
      <c r="J1735" s="92" t="n"/>
      <c r="K1735" s="92" t="n"/>
      <c r="L1735" s="92" t="n"/>
      <c r="M1735" s="97" t="n"/>
      <c r="N1735" s="92" t="n"/>
      <c r="O1735" s="92" t="n"/>
      <c r="P1735" s="92" t="n"/>
    </row>
    <row r="1736" ht="32" customHeight="1">
      <c r="A1736" s="91" t="n"/>
      <c r="B1736" s="91" t="n"/>
      <c r="C1736" s="91" t="n"/>
      <c r="D1736" s="91" t="n"/>
      <c r="E1736" s="91" t="n"/>
      <c r="F1736" s="94" t="n"/>
      <c r="G1736" s="94" t="n"/>
      <c r="H1736" s="91" t="n"/>
      <c r="I1736" s="91" t="n"/>
      <c r="J1736" s="91" t="n"/>
      <c r="K1736" s="91" t="n"/>
      <c r="L1736" s="91" t="n"/>
      <c r="M1736" s="95" t="n"/>
      <c r="N1736" s="91" t="n"/>
      <c r="O1736" s="91" t="n"/>
      <c r="P1736" s="91" t="n"/>
    </row>
    <row r="1737" ht="32" customHeight="1">
      <c r="A1737" s="92" t="n"/>
      <c r="B1737" s="92" t="n"/>
      <c r="C1737" s="92" t="n"/>
      <c r="D1737" s="92" t="n"/>
      <c r="E1737" s="92" t="n"/>
      <c r="F1737" s="96" t="n"/>
      <c r="G1737" s="96" t="n"/>
      <c r="H1737" s="92" t="n"/>
      <c r="I1737" s="92" t="n"/>
      <c r="J1737" s="92" t="n"/>
      <c r="K1737" s="92" t="n"/>
      <c r="L1737" s="92" t="n"/>
      <c r="M1737" s="97" t="n"/>
      <c r="N1737" s="92" t="n"/>
      <c r="O1737" s="92" t="n"/>
      <c r="P1737" s="92" t="n"/>
    </row>
    <row r="1738" ht="32" customHeight="1">
      <c r="A1738" s="91" t="n"/>
      <c r="B1738" s="91" t="n"/>
      <c r="C1738" s="91" t="n"/>
      <c r="D1738" s="91" t="n"/>
      <c r="E1738" s="91" t="n"/>
      <c r="F1738" s="94" t="n"/>
      <c r="G1738" s="94" t="n"/>
      <c r="H1738" s="91" t="n"/>
      <c r="I1738" s="91" t="n"/>
      <c r="J1738" s="91" t="n"/>
      <c r="K1738" s="91" t="n"/>
      <c r="L1738" s="91" t="n"/>
      <c r="M1738" s="95" t="n"/>
      <c r="N1738" s="91" t="n"/>
      <c r="O1738" s="91" t="n"/>
      <c r="P1738" s="91" t="n"/>
    </row>
    <row r="1739" ht="32" customHeight="1">
      <c r="A1739" s="92" t="n"/>
      <c r="B1739" s="92" t="n"/>
      <c r="C1739" s="92" t="n"/>
      <c r="D1739" s="92" t="n"/>
      <c r="E1739" s="92" t="n"/>
      <c r="F1739" s="96" t="n"/>
      <c r="G1739" s="96" t="n"/>
      <c r="H1739" s="92" t="n"/>
      <c r="I1739" s="92" t="n"/>
      <c r="J1739" s="92" t="n"/>
      <c r="K1739" s="92" t="n"/>
      <c r="L1739" s="92" t="n"/>
      <c r="M1739" s="97" t="n"/>
      <c r="N1739" s="92" t="n"/>
      <c r="O1739" s="92" t="n"/>
      <c r="P1739" s="92" t="n"/>
    </row>
    <row r="1740" ht="32" customHeight="1">
      <c r="A1740" s="91" t="n"/>
      <c r="B1740" s="91" t="n"/>
      <c r="C1740" s="91" t="n"/>
      <c r="D1740" s="91" t="n"/>
      <c r="E1740" s="91" t="n"/>
      <c r="F1740" s="94" t="n"/>
      <c r="G1740" s="94" t="n"/>
      <c r="H1740" s="91" t="n"/>
      <c r="I1740" s="91" t="n"/>
      <c r="J1740" s="91" t="n"/>
      <c r="K1740" s="91" t="n"/>
      <c r="L1740" s="91" t="n"/>
      <c r="M1740" s="95" t="n"/>
      <c r="N1740" s="91" t="n"/>
      <c r="O1740" s="91" t="n"/>
      <c r="P1740" s="91" t="n"/>
    </row>
    <row r="1741" ht="32" customHeight="1">
      <c r="A1741" s="92" t="n"/>
      <c r="B1741" s="92" t="n"/>
      <c r="C1741" s="92" t="n"/>
      <c r="D1741" s="92" t="n"/>
      <c r="E1741" s="92" t="n"/>
      <c r="F1741" s="96" t="n"/>
      <c r="G1741" s="96" t="n"/>
      <c r="H1741" s="92" t="n"/>
      <c r="I1741" s="92" t="n"/>
      <c r="J1741" s="92" t="n"/>
      <c r="K1741" s="92" t="n"/>
      <c r="L1741" s="92" t="n"/>
      <c r="M1741" s="97" t="n"/>
      <c r="N1741" s="92" t="n"/>
      <c r="O1741" s="92" t="n"/>
      <c r="P1741" s="92" t="n"/>
    </row>
    <row r="1742" ht="32" customHeight="1">
      <c r="A1742" s="91" t="n"/>
      <c r="B1742" s="91" t="n"/>
      <c r="C1742" s="91" t="n"/>
      <c r="D1742" s="91" t="n"/>
      <c r="E1742" s="91" t="n"/>
      <c r="F1742" s="94" t="n"/>
      <c r="G1742" s="94" t="n"/>
      <c r="H1742" s="91" t="n"/>
      <c r="I1742" s="91" t="n"/>
      <c r="J1742" s="91" t="n"/>
      <c r="K1742" s="91" t="n"/>
      <c r="L1742" s="91" t="n"/>
      <c r="M1742" s="95" t="n"/>
      <c r="N1742" s="91" t="n"/>
      <c r="O1742" s="91" t="n"/>
      <c r="P1742" s="91" t="n"/>
    </row>
    <row r="1743" ht="32" customHeight="1">
      <c r="A1743" s="92" t="n"/>
      <c r="B1743" s="92" t="n"/>
      <c r="C1743" s="92" t="n"/>
      <c r="D1743" s="92" t="n"/>
      <c r="E1743" s="92" t="n"/>
      <c r="F1743" s="96" t="n"/>
      <c r="G1743" s="96" t="n"/>
      <c r="H1743" s="92" t="n"/>
      <c r="I1743" s="92" t="n"/>
      <c r="J1743" s="92" t="n"/>
      <c r="K1743" s="92" t="n"/>
      <c r="L1743" s="92" t="n"/>
      <c r="M1743" s="97" t="n"/>
      <c r="N1743" s="92" t="n"/>
      <c r="O1743" s="92" t="n"/>
      <c r="P1743" s="92" t="n"/>
    </row>
    <row r="1744" ht="32" customHeight="1">
      <c r="A1744" s="91" t="n"/>
      <c r="B1744" s="91" t="n"/>
      <c r="C1744" s="91" t="n"/>
      <c r="D1744" s="91" t="n"/>
      <c r="E1744" s="91" t="n"/>
      <c r="F1744" s="94" t="n"/>
      <c r="G1744" s="94" t="n"/>
      <c r="H1744" s="91" t="n"/>
      <c r="I1744" s="91" t="n"/>
      <c r="J1744" s="91" t="n"/>
      <c r="K1744" s="91" t="n"/>
      <c r="L1744" s="91" t="n"/>
      <c r="M1744" s="95" t="n"/>
      <c r="N1744" s="91" t="n"/>
      <c r="O1744" s="91" t="n"/>
      <c r="P1744" s="91" t="n"/>
    </row>
    <row r="1745" ht="32" customHeight="1">
      <c r="A1745" s="92" t="n"/>
      <c r="B1745" s="92" t="n"/>
      <c r="C1745" s="92" t="n"/>
      <c r="D1745" s="92" t="n"/>
      <c r="E1745" s="92" t="n"/>
      <c r="F1745" s="96" t="n"/>
      <c r="G1745" s="96" t="n"/>
      <c r="H1745" s="92" t="n"/>
      <c r="I1745" s="92" t="n"/>
      <c r="J1745" s="92" t="n"/>
      <c r="K1745" s="92" t="n"/>
      <c r="L1745" s="92" t="n"/>
      <c r="M1745" s="97" t="n"/>
      <c r="N1745" s="92" t="n"/>
      <c r="O1745" s="92" t="n"/>
      <c r="P1745" s="92" t="n"/>
    </row>
    <row r="1746" ht="32" customHeight="1">
      <c r="A1746" s="91" t="n"/>
      <c r="B1746" s="91" t="n"/>
      <c r="C1746" s="91" t="n"/>
      <c r="D1746" s="91" t="n"/>
      <c r="E1746" s="91" t="n"/>
      <c r="F1746" s="94" t="n"/>
      <c r="G1746" s="94" t="n"/>
      <c r="H1746" s="91" t="n"/>
      <c r="I1746" s="91" t="n"/>
      <c r="J1746" s="91" t="n"/>
      <c r="K1746" s="91" t="n"/>
      <c r="L1746" s="91" t="n"/>
      <c r="M1746" s="95" t="n"/>
      <c r="N1746" s="91" t="n"/>
      <c r="O1746" s="91" t="n"/>
      <c r="P1746" s="91" t="n"/>
    </row>
    <row r="1747" ht="32" customHeight="1">
      <c r="A1747" s="92" t="n"/>
      <c r="B1747" s="92" t="n"/>
      <c r="C1747" s="92" t="n"/>
      <c r="D1747" s="92" t="n"/>
      <c r="E1747" s="92" t="n"/>
      <c r="F1747" s="96" t="n"/>
      <c r="G1747" s="96" t="n"/>
      <c r="H1747" s="92" t="n"/>
      <c r="I1747" s="92" t="n"/>
      <c r="J1747" s="92" t="n"/>
      <c r="K1747" s="92" t="n"/>
      <c r="L1747" s="92" t="n"/>
      <c r="M1747" s="97" t="n"/>
      <c r="N1747" s="92" t="n"/>
      <c r="O1747" s="92" t="n"/>
      <c r="P1747" s="92" t="n"/>
    </row>
    <row r="1748" ht="32" customHeight="1">
      <c r="A1748" s="91" t="n"/>
      <c r="B1748" s="91" t="n"/>
      <c r="C1748" s="91" t="n"/>
      <c r="D1748" s="91" t="n"/>
      <c r="E1748" s="91" t="n"/>
      <c r="F1748" s="94" t="n"/>
      <c r="G1748" s="94" t="n"/>
      <c r="H1748" s="91" t="n"/>
      <c r="I1748" s="91" t="n"/>
      <c r="J1748" s="91" t="n"/>
      <c r="K1748" s="91" t="n"/>
      <c r="L1748" s="91" t="n"/>
      <c r="M1748" s="95" t="n"/>
      <c r="N1748" s="91" t="n"/>
      <c r="O1748" s="91" t="n"/>
      <c r="P1748" s="91" t="n"/>
    </row>
    <row r="1749" ht="32" customHeight="1">
      <c r="A1749" s="92" t="n"/>
      <c r="B1749" s="92" t="n"/>
      <c r="C1749" s="92" t="n"/>
      <c r="D1749" s="92" t="n"/>
      <c r="E1749" s="92" t="n"/>
      <c r="F1749" s="96" t="n"/>
      <c r="G1749" s="96" t="n"/>
      <c r="H1749" s="92" t="n"/>
      <c r="I1749" s="92" t="n"/>
      <c r="J1749" s="92" t="n"/>
      <c r="K1749" s="92" t="n"/>
      <c r="L1749" s="92" t="n"/>
      <c r="M1749" s="97" t="n"/>
      <c r="N1749" s="92" t="n"/>
      <c r="O1749" s="92" t="n"/>
      <c r="P1749" s="92" t="n"/>
    </row>
    <row r="1750" ht="32" customHeight="1">
      <c r="A1750" s="91" t="n"/>
      <c r="B1750" s="91" t="n"/>
      <c r="C1750" s="91" t="n"/>
      <c r="D1750" s="91" t="n"/>
      <c r="E1750" s="91" t="n"/>
      <c r="F1750" s="94" t="n"/>
      <c r="G1750" s="94" t="n"/>
      <c r="H1750" s="91" t="n"/>
      <c r="I1750" s="91" t="n"/>
      <c r="J1750" s="91" t="n"/>
      <c r="K1750" s="91" t="n"/>
      <c r="L1750" s="91" t="n"/>
      <c r="M1750" s="95" t="n"/>
      <c r="N1750" s="91" t="n"/>
      <c r="O1750" s="91" t="n"/>
      <c r="P1750" s="91" t="n"/>
    </row>
    <row r="1751" ht="32" customHeight="1">
      <c r="A1751" s="92" t="n"/>
      <c r="B1751" s="92" t="n"/>
      <c r="C1751" s="92" t="n"/>
      <c r="D1751" s="92" t="n"/>
      <c r="E1751" s="92" t="n"/>
      <c r="F1751" s="96" t="n"/>
      <c r="G1751" s="96" t="n"/>
      <c r="H1751" s="92" t="n"/>
      <c r="I1751" s="92" t="n"/>
      <c r="J1751" s="92" t="n"/>
      <c r="K1751" s="92" t="n"/>
      <c r="L1751" s="92" t="n"/>
      <c r="M1751" s="97" t="n"/>
      <c r="N1751" s="92" t="n"/>
      <c r="O1751" s="92" t="n"/>
      <c r="P1751" s="92" t="n"/>
    </row>
    <row r="1752" ht="32" customHeight="1">
      <c r="A1752" s="91" t="n"/>
      <c r="B1752" s="91" t="n"/>
      <c r="C1752" s="91" t="n"/>
      <c r="D1752" s="91" t="n"/>
      <c r="E1752" s="91" t="n"/>
      <c r="F1752" s="94" t="n"/>
      <c r="G1752" s="94" t="n"/>
      <c r="H1752" s="91" t="n"/>
      <c r="I1752" s="91" t="n"/>
      <c r="J1752" s="91" t="n"/>
      <c r="K1752" s="91" t="n"/>
      <c r="L1752" s="91" t="n"/>
      <c r="M1752" s="95" t="n"/>
      <c r="N1752" s="91" t="n"/>
      <c r="O1752" s="91" t="n"/>
      <c r="P1752" s="91" t="n"/>
    </row>
    <row r="1753" ht="32" customHeight="1">
      <c r="A1753" s="92" t="n"/>
      <c r="B1753" s="92" t="n"/>
      <c r="C1753" s="92" t="n"/>
      <c r="D1753" s="92" t="n"/>
      <c r="E1753" s="92" t="n"/>
      <c r="F1753" s="96" t="n"/>
      <c r="G1753" s="96" t="n"/>
      <c r="H1753" s="92" t="n"/>
      <c r="I1753" s="92" t="n"/>
      <c r="J1753" s="92" t="n"/>
      <c r="K1753" s="92" t="n"/>
      <c r="L1753" s="92" t="n"/>
      <c r="M1753" s="97" t="n"/>
      <c r="N1753" s="92" t="n"/>
      <c r="O1753" s="92" t="n"/>
      <c r="P1753" s="92" t="n"/>
    </row>
    <row r="1754" ht="32" customHeight="1">
      <c r="A1754" s="91" t="n"/>
      <c r="B1754" s="91" t="n"/>
      <c r="C1754" s="91" t="n"/>
      <c r="D1754" s="91" t="n"/>
      <c r="E1754" s="91" t="n"/>
      <c r="F1754" s="94" t="n"/>
      <c r="G1754" s="94" t="n"/>
      <c r="H1754" s="91" t="n"/>
      <c r="I1754" s="91" t="n"/>
      <c r="J1754" s="91" t="n"/>
      <c r="K1754" s="91" t="n"/>
      <c r="L1754" s="91" t="n"/>
      <c r="M1754" s="95" t="n"/>
      <c r="N1754" s="91" t="n"/>
      <c r="O1754" s="91" t="n"/>
      <c r="P1754" s="91" t="n"/>
    </row>
    <row r="1755" ht="32" customHeight="1">
      <c r="A1755" s="92" t="n"/>
      <c r="B1755" s="92" t="n"/>
      <c r="C1755" s="92" t="n"/>
      <c r="D1755" s="92" t="n"/>
      <c r="E1755" s="92" t="n"/>
      <c r="F1755" s="96" t="n"/>
      <c r="G1755" s="96" t="n"/>
      <c r="H1755" s="92" t="n"/>
      <c r="I1755" s="92" t="n"/>
      <c r="J1755" s="92" t="n"/>
      <c r="K1755" s="92" t="n"/>
      <c r="L1755" s="92" t="n"/>
      <c r="M1755" s="97" t="n"/>
      <c r="N1755" s="92" t="n"/>
      <c r="O1755" s="92" t="n"/>
      <c r="P1755" s="92" t="n"/>
    </row>
    <row r="1756" ht="32" customHeight="1">
      <c r="A1756" s="91" t="n"/>
      <c r="B1756" s="91" t="n"/>
      <c r="C1756" s="91" t="n"/>
      <c r="D1756" s="91" t="n"/>
      <c r="E1756" s="91" t="n"/>
      <c r="F1756" s="94" t="n"/>
      <c r="G1756" s="94" t="n"/>
      <c r="H1756" s="91" t="n"/>
      <c r="I1756" s="91" t="n"/>
      <c r="J1756" s="91" t="n"/>
      <c r="K1756" s="91" t="n"/>
      <c r="L1756" s="91" t="n"/>
      <c r="M1756" s="95" t="n"/>
      <c r="N1756" s="91" t="n"/>
      <c r="O1756" s="91" t="n"/>
      <c r="P1756" s="91" t="n"/>
    </row>
    <row r="1757" ht="32" customHeight="1">
      <c r="A1757" s="92" t="n"/>
      <c r="B1757" s="92" t="n"/>
      <c r="C1757" s="92" t="n"/>
      <c r="D1757" s="92" t="n"/>
      <c r="E1757" s="92" t="n"/>
      <c r="F1757" s="96" t="n"/>
      <c r="G1757" s="96" t="n"/>
      <c r="H1757" s="92" t="n"/>
      <c r="I1757" s="92" t="n"/>
      <c r="J1757" s="92" t="n"/>
      <c r="K1757" s="92" t="n"/>
      <c r="L1757" s="92" t="n"/>
      <c r="M1757" s="97" t="n"/>
      <c r="N1757" s="92" t="n"/>
      <c r="O1757" s="92" t="n"/>
      <c r="P1757" s="92" t="n"/>
    </row>
    <row r="1758" ht="32" customHeight="1">
      <c r="A1758" s="91" t="n"/>
      <c r="B1758" s="91" t="n"/>
      <c r="C1758" s="91" t="n"/>
      <c r="D1758" s="91" t="n"/>
      <c r="E1758" s="91" t="n"/>
      <c r="F1758" s="94" t="n"/>
      <c r="G1758" s="94" t="n"/>
      <c r="H1758" s="91" t="n"/>
      <c r="I1758" s="91" t="n"/>
      <c r="J1758" s="91" t="n"/>
      <c r="K1758" s="91" t="n"/>
      <c r="L1758" s="91" t="n"/>
      <c r="M1758" s="95" t="n"/>
      <c r="N1758" s="91" t="n"/>
      <c r="O1758" s="91" t="n"/>
      <c r="P1758" s="91" t="n"/>
    </row>
    <row r="1759" ht="32" customHeight="1">
      <c r="A1759" s="92" t="n"/>
      <c r="B1759" s="92" t="n"/>
      <c r="C1759" s="92" t="n"/>
      <c r="D1759" s="92" t="n"/>
      <c r="E1759" s="92" t="n"/>
      <c r="F1759" s="96" t="n"/>
      <c r="G1759" s="96" t="n"/>
      <c r="H1759" s="92" t="n"/>
      <c r="I1759" s="92" t="n"/>
      <c r="J1759" s="92" t="n"/>
      <c r="K1759" s="92" t="n"/>
      <c r="L1759" s="92" t="n"/>
      <c r="M1759" s="97" t="n"/>
      <c r="N1759" s="92" t="n"/>
      <c r="O1759" s="92" t="n"/>
      <c r="P1759" s="92" t="n"/>
    </row>
    <row r="1760" ht="32" customHeight="1">
      <c r="A1760" s="91" t="n"/>
      <c r="B1760" s="91" t="n"/>
      <c r="C1760" s="91" t="n"/>
      <c r="D1760" s="91" t="n"/>
      <c r="E1760" s="91" t="n"/>
      <c r="F1760" s="94" t="n"/>
      <c r="G1760" s="94" t="n"/>
      <c r="H1760" s="91" t="n"/>
      <c r="I1760" s="91" t="n"/>
      <c r="J1760" s="91" t="n"/>
      <c r="K1760" s="91" t="n"/>
      <c r="L1760" s="91" t="n"/>
      <c r="M1760" s="95" t="n"/>
      <c r="N1760" s="91" t="n"/>
      <c r="O1760" s="91" t="n"/>
      <c r="P1760" s="91" t="n"/>
    </row>
    <row r="1761" ht="32" customHeight="1">
      <c r="A1761" s="92" t="n"/>
      <c r="B1761" s="92" t="n"/>
      <c r="C1761" s="92" t="n"/>
      <c r="D1761" s="92" t="n"/>
      <c r="E1761" s="92" t="n"/>
      <c r="F1761" s="96" t="n"/>
      <c r="G1761" s="96" t="n"/>
      <c r="H1761" s="92" t="n"/>
      <c r="I1761" s="92" t="n"/>
      <c r="J1761" s="92" t="n"/>
      <c r="K1761" s="92" t="n"/>
      <c r="L1761" s="92" t="n"/>
      <c r="M1761" s="97" t="n"/>
      <c r="N1761" s="92" t="n"/>
      <c r="O1761" s="92" t="n"/>
      <c r="P1761" s="92" t="n"/>
    </row>
    <row r="1762" ht="32" customHeight="1">
      <c r="A1762" s="91" t="n"/>
      <c r="B1762" s="91" t="n"/>
      <c r="C1762" s="91" t="n"/>
      <c r="D1762" s="91" t="n"/>
      <c r="E1762" s="91" t="n"/>
      <c r="F1762" s="94" t="n"/>
      <c r="G1762" s="94" t="n"/>
      <c r="H1762" s="91" t="n"/>
      <c r="I1762" s="91" t="n"/>
      <c r="J1762" s="91" t="n"/>
      <c r="K1762" s="91" t="n"/>
      <c r="L1762" s="91" t="n"/>
      <c r="M1762" s="95" t="n"/>
      <c r="N1762" s="91" t="n"/>
      <c r="O1762" s="91" t="n"/>
      <c r="P1762" s="91" t="n"/>
    </row>
    <row r="1763" ht="32" customHeight="1">
      <c r="A1763" s="92" t="n"/>
      <c r="B1763" s="92" t="n"/>
      <c r="C1763" s="92" t="n"/>
      <c r="D1763" s="92" t="n"/>
      <c r="E1763" s="92" t="n"/>
      <c r="F1763" s="96" t="n"/>
      <c r="G1763" s="96" t="n"/>
      <c r="H1763" s="92" t="n"/>
      <c r="I1763" s="92" t="n"/>
      <c r="J1763" s="92" t="n"/>
      <c r="K1763" s="92" t="n"/>
      <c r="L1763" s="92" t="n"/>
      <c r="M1763" s="97" t="n"/>
      <c r="N1763" s="92" t="n"/>
      <c r="O1763" s="92" t="n"/>
      <c r="P1763" s="92" t="n"/>
    </row>
    <row r="1764" ht="32" customHeight="1">
      <c r="A1764" s="91" t="n"/>
      <c r="B1764" s="91" t="n"/>
      <c r="C1764" s="91" t="n"/>
      <c r="D1764" s="91" t="n"/>
      <c r="E1764" s="91" t="n"/>
      <c r="F1764" s="94" t="n"/>
      <c r="G1764" s="94" t="n"/>
      <c r="H1764" s="91" t="n"/>
      <c r="I1764" s="91" t="n"/>
      <c r="J1764" s="91" t="n"/>
      <c r="K1764" s="91" t="n"/>
      <c r="L1764" s="91" t="n"/>
      <c r="M1764" s="95" t="n"/>
      <c r="N1764" s="91" t="n"/>
      <c r="O1764" s="91" t="n"/>
      <c r="P1764" s="91" t="n"/>
    </row>
    <row r="1765" ht="32" customHeight="1">
      <c r="A1765" s="92" t="n"/>
      <c r="B1765" s="92" t="n"/>
      <c r="C1765" s="92" t="n"/>
      <c r="D1765" s="92" t="n"/>
      <c r="E1765" s="92" t="n"/>
      <c r="F1765" s="96" t="n"/>
      <c r="G1765" s="96" t="n"/>
      <c r="H1765" s="92" t="n"/>
      <c r="I1765" s="92" t="n"/>
      <c r="J1765" s="92" t="n"/>
      <c r="K1765" s="92" t="n"/>
      <c r="L1765" s="92" t="n"/>
      <c r="M1765" s="97" t="n"/>
      <c r="N1765" s="92" t="n"/>
      <c r="O1765" s="92" t="n"/>
      <c r="P1765" s="92" t="n"/>
    </row>
    <row r="1766" ht="32" customHeight="1">
      <c r="A1766" s="91" t="n"/>
      <c r="B1766" s="91" t="n"/>
      <c r="C1766" s="91" t="n"/>
      <c r="D1766" s="91" t="n"/>
      <c r="E1766" s="91" t="n"/>
      <c r="F1766" s="94" t="n"/>
      <c r="G1766" s="94" t="n"/>
      <c r="H1766" s="91" t="n"/>
      <c r="I1766" s="91" t="n"/>
      <c r="J1766" s="91" t="n"/>
      <c r="K1766" s="91" t="n"/>
      <c r="L1766" s="91" t="n"/>
      <c r="M1766" s="95" t="n"/>
      <c r="N1766" s="91" t="n"/>
      <c r="O1766" s="91" t="n"/>
      <c r="P1766" s="91" t="n"/>
    </row>
    <row r="1767" ht="32" customHeight="1">
      <c r="A1767" s="92" t="n"/>
      <c r="B1767" s="92" t="n"/>
      <c r="C1767" s="92" t="n"/>
      <c r="D1767" s="92" t="n"/>
      <c r="E1767" s="92" t="n"/>
      <c r="F1767" s="96" t="n"/>
      <c r="G1767" s="96" t="n"/>
      <c r="H1767" s="92" t="n"/>
      <c r="I1767" s="92" t="n"/>
      <c r="J1767" s="92" t="n"/>
      <c r="K1767" s="92" t="n"/>
      <c r="L1767" s="92" t="n"/>
      <c r="M1767" s="97" t="n"/>
      <c r="N1767" s="92" t="n"/>
      <c r="O1767" s="92" t="n"/>
      <c r="P1767" s="92" t="n"/>
    </row>
    <row r="1768" ht="32" customHeight="1">
      <c r="A1768" s="91" t="n"/>
      <c r="B1768" s="91" t="n"/>
      <c r="C1768" s="91" t="n"/>
      <c r="D1768" s="91" t="n"/>
      <c r="E1768" s="91" t="n"/>
      <c r="F1768" s="94" t="n"/>
      <c r="G1768" s="94" t="n"/>
      <c r="H1768" s="91" t="n"/>
      <c r="I1768" s="91" t="n"/>
      <c r="J1768" s="91" t="n"/>
      <c r="K1768" s="91" t="n"/>
      <c r="L1768" s="91" t="n"/>
      <c r="M1768" s="95" t="n"/>
      <c r="N1768" s="91" t="n"/>
      <c r="O1768" s="91" t="n"/>
      <c r="P1768" s="91" t="n"/>
    </row>
    <row r="1769" ht="32" customHeight="1">
      <c r="A1769" s="92" t="n"/>
      <c r="B1769" s="92" t="n"/>
      <c r="C1769" s="92" t="n"/>
      <c r="D1769" s="92" t="n"/>
      <c r="E1769" s="92" t="n"/>
      <c r="F1769" s="96" t="n"/>
      <c r="G1769" s="96" t="n"/>
      <c r="H1769" s="92" t="n"/>
      <c r="I1769" s="92" t="n"/>
      <c r="J1769" s="92" t="n"/>
      <c r="K1769" s="92" t="n"/>
      <c r="L1769" s="92" t="n"/>
      <c r="M1769" s="97" t="n"/>
      <c r="N1769" s="92" t="n"/>
      <c r="O1769" s="92" t="n"/>
      <c r="P1769" s="92" t="n"/>
    </row>
    <row r="1770" ht="32" customHeight="1">
      <c r="A1770" s="91" t="n"/>
      <c r="B1770" s="91" t="n"/>
      <c r="C1770" s="91" t="n"/>
      <c r="D1770" s="91" t="n"/>
      <c r="E1770" s="91" t="n"/>
      <c r="F1770" s="94" t="n"/>
      <c r="G1770" s="94" t="n"/>
      <c r="H1770" s="91" t="n"/>
      <c r="I1770" s="91" t="n"/>
      <c r="J1770" s="91" t="n"/>
      <c r="K1770" s="91" t="n"/>
      <c r="L1770" s="91" t="n"/>
      <c r="M1770" s="95" t="n"/>
      <c r="N1770" s="91" t="n"/>
      <c r="O1770" s="91" t="n"/>
      <c r="P1770" s="91" t="n"/>
    </row>
    <row r="1771" ht="32" customHeight="1">
      <c r="A1771" s="92" t="n"/>
      <c r="B1771" s="92" t="n"/>
      <c r="C1771" s="92" t="n"/>
      <c r="D1771" s="92" t="n"/>
      <c r="E1771" s="92" t="n"/>
      <c r="F1771" s="96" t="n"/>
      <c r="G1771" s="96" t="n"/>
      <c r="H1771" s="92" t="n"/>
      <c r="I1771" s="92" t="n"/>
      <c r="J1771" s="92" t="n"/>
      <c r="K1771" s="92" t="n"/>
      <c r="L1771" s="92" t="n"/>
      <c r="M1771" s="97" t="n"/>
      <c r="N1771" s="92" t="n"/>
      <c r="O1771" s="92" t="n"/>
      <c r="P1771" s="92" t="n"/>
    </row>
    <row r="1772" ht="32" customHeight="1">
      <c r="A1772" s="91" t="n"/>
      <c r="B1772" s="91" t="n"/>
      <c r="C1772" s="91" t="n"/>
      <c r="D1772" s="91" t="n"/>
      <c r="E1772" s="91" t="n"/>
      <c r="F1772" s="94" t="n"/>
      <c r="G1772" s="94" t="n"/>
      <c r="H1772" s="91" t="n"/>
      <c r="I1772" s="91" t="n"/>
      <c r="J1772" s="91" t="n"/>
      <c r="K1772" s="91" t="n"/>
      <c r="L1772" s="91" t="n"/>
      <c r="M1772" s="95" t="n"/>
      <c r="N1772" s="91" t="n"/>
      <c r="O1772" s="91" t="n"/>
      <c r="P1772" s="91" t="n"/>
    </row>
    <row r="1773" ht="32" customHeight="1">
      <c r="A1773" s="92" t="n"/>
      <c r="B1773" s="92" t="n"/>
      <c r="C1773" s="92" t="n"/>
      <c r="D1773" s="92" t="n"/>
      <c r="E1773" s="92" t="n"/>
      <c r="F1773" s="96" t="n"/>
      <c r="G1773" s="96" t="n"/>
      <c r="H1773" s="92" t="n"/>
      <c r="I1773" s="92" t="n"/>
      <c r="J1773" s="92" t="n"/>
      <c r="K1773" s="92" t="n"/>
      <c r="L1773" s="92" t="n"/>
      <c r="M1773" s="97" t="n"/>
      <c r="N1773" s="92" t="n"/>
      <c r="O1773" s="92" t="n"/>
      <c r="P1773" s="92" t="n"/>
    </row>
    <row r="1774" ht="32" customHeight="1">
      <c r="A1774" s="91" t="n"/>
      <c r="B1774" s="91" t="n"/>
      <c r="C1774" s="91" t="n"/>
      <c r="D1774" s="91" t="n"/>
      <c r="E1774" s="91" t="n"/>
      <c r="F1774" s="94" t="n"/>
      <c r="G1774" s="94" t="n"/>
      <c r="H1774" s="91" t="n"/>
      <c r="I1774" s="91" t="n"/>
      <c r="J1774" s="91" t="n"/>
      <c r="K1774" s="91" t="n"/>
      <c r="L1774" s="91" t="n"/>
      <c r="M1774" s="95" t="n"/>
      <c r="N1774" s="91" t="n"/>
      <c r="O1774" s="91" t="n"/>
      <c r="P1774" s="91" t="n"/>
    </row>
    <row r="1775" ht="32" customHeight="1">
      <c r="A1775" s="92" t="n"/>
      <c r="B1775" s="92" t="n"/>
      <c r="C1775" s="92" t="n"/>
      <c r="D1775" s="92" t="n"/>
      <c r="E1775" s="92" t="n"/>
      <c r="F1775" s="96" t="n"/>
      <c r="G1775" s="96" t="n"/>
      <c r="H1775" s="92" t="n"/>
      <c r="I1775" s="92" t="n"/>
      <c r="J1775" s="92" t="n"/>
      <c r="K1775" s="92" t="n"/>
      <c r="L1775" s="92" t="n"/>
      <c r="M1775" s="97" t="n"/>
      <c r="N1775" s="92" t="n"/>
      <c r="O1775" s="92" t="n"/>
      <c r="P1775" s="92" t="n"/>
    </row>
    <row r="1776" ht="32" customHeight="1">
      <c r="A1776" s="91" t="n"/>
      <c r="B1776" s="91" t="n"/>
      <c r="C1776" s="91" t="n"/>
      <c r="D1776" s="91" t="n"/>
      <c r="E1776" s="91" t="n"/>
      <c r="F1776" s="94" t="n"/>
      <c r="G1776" s="94" t="n"/>
      <c r="H1776" s="91" t="n"/>
      <c r="I1776" s="91" t="n"/>
      <c r="J1776" s="91" t="n"/>
      <c r="K1776" s="91" t="n"/>
      <c r="L1776" s="91" t="n"/>
      <c r="M1776" s="95" t="n"/>
      <c r="N1776" s="91" t="n"/>
      <c r="O1776" s="91" t="n"/>
      <c r="P1776" s="91" t="n"/>
    </row>
    <row r="1777" ht="32" customHeight="1">
      <c r="A1777" s="92" t="n"/>
      <c r="B1777" s="92" t="n"/>
      <c r="C1777" s="92" t="n"/>
      <c r="D1777" s="92" t="n"/>
      <c r="E1777" s="92" t="n"/>
      <c r="F1777" s="96" t="n"/>
      <c r="G1777" s="96" t="n"/>
      <c r="H1777" s="92" t="n"/>
      <c r="I1777" s="92" t="n"/>
      <c r="J1777" s="92" t="n"/>
      <c r="K1777" s="92" t="n"/>
      <c r="L1777" s="92" t="n"/>
      <c r="M1777" s="97" t="n"/>
      <c r="N1777" s="92" t="n"/>
      <c r="O1777" s="92" t="n"/>
      <c r="P1777" s="92" t="n"/>
    </row>
    <row r="1778" ht="32" customHeight="1">
      <c r="A1778" s="91" t="n"/>
      <c r="B1778" s="91" t="n"/>
      <c r="C1778" s="91" t="n"/>
      <c r="D1778" s="91" t="n"/>
      <c r="E1778" s="91" t="n"/>
      <c r="F1778" s="94" t="n"/>
      <c r="G1778" s="94" t="n"/>
      <c r="H1778" s="91" t="n"/>
      <c r="I1778" s="91" t="n"/>
      <c r="J1778" s="91" t="n"/>
      <c r="K1778" s="91" t="n"/>
      <c r="L1778" s="91" t="n"/>
      <c r="M1778" s="95" t="n"/>
      <c r="N1778" s="91" t="n"/>
      <c r="O1778" s="91" t="n"/>
      <c r="P1778" s="91" t="n"/>
    </row>
    <row r="1779" ht="32" customHeight="1">
      <c r="A1779" s="92" t="n"/>
      <c r="B1779" s="92" t="n"/>
      <c r="C1779" s="92" t="n"/>
      <c r="D1779" s="92" t="n"/>
      <c r="E1779" s="92" t="n"/>
      <c r="F1779" s="96" t="n"/>
      <c r="G1779" s="96" t="n"/>
      <c r="H1779" s="92" t="n"/>
      <c r="I1779" s="92" t="n"/>
      <c r="J1779" s="92" t="n"/>
      <c r="K1779" s="92" t="n"/>
      <c r="L1779" s="92" t="n"/>
      <c r="M1779" s="97" t="n"/>
      <c r="N1779" s="92" t="n"/>
      <c r="O1779" s="92" t="n"/>
      <c r="P1779" s="92" t="n"/>
    </row>
    <row r="1780" ht="32" customHeight="1">
      <c r="A1780" s="91" t="n"/>
      <c r="B1780" s="91" t="n"/>
      <c r="C1780" s="91" t="n"/>
      <c r="D1780" s="91" t="n"/>
      <c r="E1780" s="91" t="n"/>
      <c r="F1780" s="94" t="n"/>
      <c r="G1780" s="94" t="n"/>
      <c r="H1780" s="91" t="n"/>
      <c r="I1780" s="91" t="n"/>
      <c r="J1780" s="91" t="n"/>
      <c r="K1780" s="91" t="n"/>
      <c r="L1780" s="91" t="n"/>
      <c r="M1780" s="95" t="n"/>
      <c r="N1780" s="91" t="n"/>
      <c r="O1780" s="91" t="n"/>
      <c r="P1780" s="91" t="n"/>
    </row>
    <row r="1781" ht="32" customHeight="1">
      <c r="A1781" s="92" t="n"/>
      <c r="B1781" s="92" t="n"/>
      <c r="C1781" s="92" t="n"/>
      <c r="D1781" s="92" t="n"/>
      <c r="E1781" s="92" t="n"/>
      <c r="F1781" s="96" t="n"/>
      <c r="G1781" s="96" t="n"/>
      <c r="H1781" s="92" t="n"/>
      <c r="I1781" s="92" t="n"/>
      <c r="J1781" s="92" t="n"/>
      <c r="K1781" s="92" t="n"/>
      <c r="L1781" s="92" t="n"/>
      <c r="M1781" s="97" t="n"/>
      <c r="N1781" s="92" t="n"/>
      <c r="O1781" s="92" t="n"/>
      <c r="P1781" s="92" t="n"/>
    </row>
    <row r="1782" ht="32" customHeight="1">
      <c r="A1782" s="91" t="n"/>
      <c r="B1782" s="91" t="n"/>
      <c r="C1782" s="91" t="n"/>
      <c r="D1782" s="91" t="n"/>
      <c r="E1782" s="91" t="n"/>
      <c r="F1782" s="94" t="n"/>
      <c r="G1782" s="94" t="n"/>
      <c r="H1782" s="91" t="n"/>
      <c r="I1782" s="91" t="n"/>
      <c r="J1782" s="91" t="n"/>
      <c r="K1782" s="91" t="n"/>
      <c r="L1782" s="91" t="n"/>
      <c r="M1782" s="95" t="n"/>
      <c r="N1782" s="91" t="n"/>
      <c r="O1782" s="91" t="n"/>
      <c r="P1782" s="91" t="n"/>
    </row>
    <row r="1783" ht="32" customHeight="1">
      <c r="A1783" s="92" t="n"/>
      <c r="B1783" s="92" t="n"/>
      <c r="C1783" s="92" t="n"/>
      <c r="D1783" s="92" t="n"/>
      <c r="E1783" s="92" t="n"/>
      <c r="F1783" s="96" t="n"/>
      <c r="G1783" s="96" t="n"/>
      <c r="H1783" s="92" t="n"/>
      <c r="I1783" s="92" t="n"/>
      <c r="J1783" s="92" t="n"/>
      <c r="K1783" s="92" t="n"/>
      <c r="L1783" s="92" t="n"/>
      <c r="M1783" s="97" t="n"/>
      <c r="N1783" s="92" t="n"/>
      <c r="O1783" s="92" t="n"/>
      <c r="P1783" s="92" t="n"/>
    </row>
    <row r="1784" ht="32" customHeight="1">
      <c r="A1784" s="91" t="n"/>
      <c r="B1784" s="91" t="n"/>
      <c r="C1784" s="91" t="n"/>
      <c r="D1784" s="91" t="n"/>
      <c r="E1784" s="91" t="n"/>
      <c r="F1784" s="94" t="n"/>
      <c r="G1784" s="94" t="n"/>
      <c r="H1784" s="91" t="n"/>
      <c r="I1784" s="91" t="n"/>
      <c r="J1784" s="91" t="n"/>
      <c r="K1784" s="91" t="n"/>
      <c r="L1784" s="91" t="n"/>
      <c r="M1784" s="95" t="n"/>
      <c r="N1784" s="91" t="n"/>
      <c r="O1784" s="91" t="n"/>
      <c r="P1784" s="91" t="n"/>
    </row>
    <row r="1785" ht="32" customHeight="1">
      <c r="A1785" s="92" t="n"/>
      <c r="B1785" s="92" t="n"/>
      <c r="C1785" s="92" t="n"/>
      <c r="D1785" s="92" t="n"/>
      <c r="E1785" s="92" t="n"/>
      <c r="F1785" s="96" t="n"/>
      <c r="G1785" s="96" t="n"/>
      <c r="H1785" s="92" t="n"/>
      <c r="I1785" s="92" t="n"/>
      <c r="J1785" s="92" t="n"/>
      <c r="K1785" s="92" t="n"/>
      <c r="L1785" s="92" t="n"/>
      <c r="M1785" s="97" t="n"/>
      <c r="N1785" s="92" t="n"/>
      <c r="O1785" s="92" t="n"/>
      <c r="P1785" s="92" t="n"/>
    </row>
    <row r="1786" ht="32" customHeight="1">
      <c r="A1786" s="91" t="n"/>
      <c r="B1786" s="91" t="n"/>
      <c r="C1786" s="91" t="n"/>
      <c r="D1786" s="91" t="n"/>
      <c r="E1786" s="91" t="n"/>
      <c r="F1786" s="94" t="n"/>
      <c r="G1786" s="94" t="n"/>
      <c r="H1786" s="91" t="n"/>
      <c r="I1786" s="91" t="n"/>
      <c r="J1786" s="91" t="n"/>
      <c r="K1786" s="91" t="n"/>
      <c r="L1786" s="91" t="n"/>
      <c r="M1786" s="95" t="n"/>
      <c r="N1786" s="91" t="n"/>
      <c r="O1786" s="91" t="n"/>
      <c r="P1786" s="91" t="n"/>
    </row>
    <row r="1787" ht="32" customHeight="1">
      <c r="A1787" s="92" t="n"/>
      <c r="B1787" s="92" t="n"/>
      <c r="C1787" s="92" t="n"/>
      <c r="D1787" s="92" t="n"/>
      <c r="E1787" s="92" t="n"/>
      <c r="F1787" s="96" t="n"/>
      <c r="G1787" s="96" t="n"/>
      <c r="H1787" s="92" t="n"/>
      <c r="I1787" s="92" t="n"/>
      <c r="J1787" s="92" t="n"/>
      <c r="K1787" s="92" t="n"/>
      <c r="L1787" s="92" t="n"/>
      <c r="M1787" s="97" t="n"/>
      <c r="N1787" s="92" t="n"/>
      <c r="O1787" s="92" t="n"/>
      <c r="P1787" s="92" t="n"/>
    </row>
    <row r="1788" ht="32" customHeight="1">
      <c r="A1788" s="91" t="n"/>
      <c r="B1788" s="91" t="n"/>
      <c r="C1788" s="91" t="n"/>
      <c r="D1788" s="91" t="n"/>
      <c r="E1788" s="91" t="n"/>
      <c r="F1788" s="94" t="n"/>
      <c r="G1788" s="94" t="n"/>
      <c r="H1788" s="91" t="n"/>
      <c r="I1788" s="91" t="n"/>
      <c r="J1788" s="91" t="n"/>
      <c r="K1788" s="91" t="n"/>
      <c r="L1788" s="91" t="n"/>
      <c r="M1788" s="95" t="n"/>
      <c r="N1788" s="91" t="n"/>
      <c r="O1788" s="91" t="n"/>
      <c r="P1788" s="91" t="n"/>
    </row>
    <row r="1789" ht="32" customHeight="1">
      <c r="A1789" s="92" t="n"/>
      <c r="B1789" s="92" t="n"/>
      <c r="C1789" s="92" t="n"/>
      <c r="D1789" s="92" t="n"/>
      <c r="E1789" s="92" t="n"/>
      <c r="F1789" s="96" t="n"/>
      <c r="G1789" s="96" t="n"/>
      <c r="H1789" s="92" t="n"/>
      <c r="I1789" s="92" t="n"/>
      <c r="J1789" s="92" t="n"/>
      <c r="K1789" s="92" t="n"/>
      <c r="L1789" s="92" t="n"/>
      <c r="M1789" s="97" t="n"/>
      <c r="N1789" s="92" t="n"/>
      <c r="O1789" s="92" t="n"/>
      <c r="P1789" s="92" t="n"/>
    </row>
    <row r="1790" ht="32" customHeight="1">
      <c r="A1790" s="91" t="n"/>
      <c r="B1790" s="91" t="n"/>
      <c r="C1790" s="91" t="n"/>
      <c r="D1790" s="91" t="n"/>
      <c r="E1790" s="91" t="n"/>
      <c r="F1790" s="94" t="n"/>
      <c r="G1790" s="94" t="n"/>
      <c r="H1790" s="91" t="n"/>
      <c r="I1790" s="91" t="n"/>
      <c r="J1790" s="91" t="n"/>
      <c r="K1790" s="91" t="n"/>
      <c r="L1790" s="91" t="n"/>
      <c r="M1790" s="95" t="n"/>
      <c r="N1790" s="91" t="n"/>
      <c r="O1790" s="91" t="n"/>
      <c r="P1790" s="91" t="n"/>
    </row>
    <row r="1791" ht="32" customHeight="1">
      <c r="A1791" s="92" t="n"/>
      <c r="B1791" s="92" t="n"/>
      <c r="C1791" s="92" t="n"/>
      <c r="D1791" s="92" t="n"/>
      <c r="E1791" s="92" t="n"/>
      <c r="F1791" s="96" t="n"/>
      <c r="G1791" s="96" t="n"/>
      <c r="H1791" s="92" t="n"/>
      <c r="I1791" s="92" t="n"/>
      <c r="J1791" s="92" t="n"/>
      <c r="K1791" s="92" t="n"/>
      <c r="L1791" s="92" t="n"/>
      <c r="M1791" s="97" t="n"/>
      <c r="N1791" s="92" t="n"/>
      <c r="O1791" s="92" t="n"/>
      <c r="P1791" s="92" t="n"/>
    </row>
    <row r="1792" ht="32" customHeight="1">
      <c r="A1792" s="91" t="n"/>
      <c r="B1792" s="91" t="n"/>
      <c r="C1792" s="91" t="n"/>
      <c r="D1792" s="91" t="n"/>
      <c r="E1792" s="91" t="n"/>
      <c r="F1792" s="94" t="n"/>
      <c r="G1792" s="94" t="n"/>
      <c r="H1792" s="91" t="n"/>
      <c r="I1792" s="91" t="n"/>
      <c r="J1792" s="91" t="n"/>
      <c r="K1792" s="91" t="n"/>
      <c r="L1792" s="91" t="n"/>
      <c r="M1792" s="95" t="n"/>
      <c r="N1792" s="91" t="n"/>
      <c r="O1792" s="91" t="n"/>
      <c r="P1792" s="91" t="n"/>
    </row>
    <row r="1793" ht="32" customHeight="1">
      <c r="A1793" s="92" t="n"/>
      <c r="B1793" s="92" t="n"/>
      <c r="C1793" s="92" t="n"/>
      <c r="D1793" s="92" t="n"/>
      <c r="E1793" s="92" t="n"/>
      <c r="F1793" s="96" t="n"/>
      <c r="G1793" s="96" t="n"/>
      <c r="H1793" s="92" t="n"/>
      <c r="I1793" s="92" t="n"/>
      <c r="J1793" s="92" t="n"/>
      <c r="K1793" s="92" t="n"/>
      <c r="L1793" s="92" t="n"/>
      <c r="M1793" s="97" t="n"/>
      <c r="N1793" s="92" t="n"/>
      <c r="O1793" s="92" t="n"/>
      <c r="P1793" s="92" t="n"/>
    </row>
    <row r="1794" ht="32" customHeight="1">
      <c r="A1794" s="91" t="n"/>
      <c r="B1794" s="91" t="n"/>
      <c r="C1794" s="91" t="n"/>
      <c r="D1794" s="91" t="n"/>
      <c r="E1794" s="91" t="n"/>
      <c r="F1794" s="94" t="n"/>
      <c r="G1794" s="94" t="n"/>
      <c r="H1794" s="91" t="n"/>
      <c r="I1794" s="91" t="n"/>
      <c r="J1794" s="91" t="n"/>
      <c r="K1794" s="91" t="n"/>
      <c r="L1794" s="91" t="n"/>
      <c r="M1794" s="95" t="n"/>
      <c r="N1794" s="91" t="n"/>
      <c r="O1794" s="91" t="n"/>
      <c r="P1794" s="91" t="n"/>
    </row>
    <row r="1795" ht="32" customHeight="1">
      <c r="A1795" s="92" t="n"/>
      <c r="B1795" s="92" t="n"/>
      <c r="C1795" s="92" t="n"/>
      <c r="D1795" s="92" t="n"/>
      <c r="E1795" s="92" t="n"/>
      <c r="F1795" s="96" t="n"/>
      <c r="G1795" s="96" t="n"/>
      <c r="H1795" s="92" t="n"/>
      <c r="I1795" s="92" t="n"/>
      <c r="J1795" s="92" t="n"/>
      <c r="K1795" s="92" t="n"/>
      <c r="L1795" s="92" t="n"/>
      <c r="M1795" s="97" t="n"/>
      <c r="N1795" s="92" t="n"/>
      <c r="O1795" s="92" t="n"/>
      <c r="P1795" s="92" t="n"/>
    </row>
    <row r="1796" ht="32" customHeight="1">
      <c r="A1796" s="91" t="n"/>
      <c r="B1796" s="91" t="n"/>
      <c r="C1796" s="91" t="n"/>
      <c r="D1796" s="91" t="n"/>
      <c r="E1796" s="91" t="n"/>
      <c r="F1796" s="94" t="n"/>
      <c r="G1796" s="94" t="n"/>
      <c r="H1796" s="91" t="n"/>
      <c r="I1796" s="91" t="n"/>
      <c r="J1796" s="91" t="n"/>
      <c r="K1796" s="91" t="n"/>
      <c r="L1796" s="91" t="n"/>
      <c r="M1796" s="95" t="n"/>
      <c r="N1796" s="91" t="n"/>
      <c r="O1796" s="91" t="n"/>
      <c r="P1796" s="91" t="n"/>
    </row>
    <row r="1797" ht="32" customHeight="1">
      <c r="A1797" s="92" t="n"/>
      <c r="B1797" s="92" t="n"/>
      <c r="C1797" s="92" t="n"/>
      <c r="D1797" s="92" t="n"/>
      <c r="E1797" s="92" t="n"/>
      <c r="F1797" s="96" t="n"/>
      <c r="G1797" s="96" t="n"/>
      <c r="H1797" s="92" t="n"/>
      <c r="I1797" s="92" t="n"/>
      <c r="J1797" s="92" t="n"/>
      <c r="K1797" s="92" t="n"/>
      <c r="L1797" s="92" t="n"/>
      <c r="M1797" s="97" t="n"/>
      <c r="N1797" s="92" t="n"/>
      <c r="O1797" s="92" t="n"/>
      <c r="P1797" s="92" t="n"/>
    </row>
    <row r="1798" ht="32" customHeight="1">
      <c r="A1798" s="91" t="n"/>
      <c r="B1798" s="91" t="n"/>
      <c r="C1798" s="91" t="n"/>
      <c r="D1798" s="91" t="n"/>
      <c r="E1798" s="91" t="n"/>
      <c r="F1798" s="94" t="n"/>
      <c r="G1798" s="94" t="n"/>
      <c r="H1798" s="91" t="n"/>
      <c r="I1798" s="91" t="n"/>
      <c r="J1798" s="91" t="n"/>
      <c r="K1798" s="91" t="n"/>
      <c r="L1798" s="91" t="n"/>
      <c r="M1798" s="95" t="n"/>
      <c r="N1798" s="91" t="n"/>
      <c r="O1798" s="91" t="n"/>
      <c r="P1798" s="91" t="n"/>
    </row>
    <row r="1799" ht="32" customHeight="1">
      <c r="A1799" s="92" t="n"/>
      <c r="B1799" s="92" t="n"/>
      <c r="C1799" s="92" t="n"/>
      <c r="D1799" s="92" t="n"/>
      <c r="E1799" s="92" t="n"/>
      <c r="F1799" s="96" t="n"/>
      <c r="G1799" s="96" t="n"/>
      <c r="H1799" s="92" t="n"/>
      <c r="I1799" s="92" t="n"/>
      <c r="J1799" s="92" t="n"/>
      <c r="K1799" s="92" t="n"/>
      <c r="L1799" s="92" t="n"/>
      <c r="M1799" s="97" t="n"/>
      <c r="N1799" s="92" t="n"/>
      <c r="O1799" s="92" t="n"/>
      <c r="P1799" s="92" t="n"/>
    </row>
    <row r="1800" ht="32" customHeight="1">
      <c r="A1800" s="91" t="n"/>
      <c r="B1800" s="91" t="n"/>
      <c r="C1800" s="91" t="n"/>
      <c r="D1800" s="91" t="n"/>
      <c r="E1800" s="91" t="n"/>
      <c r="F1800" s="94" t="n"/>
      <c r="G1800" s="94" t="n"/>
      <c r="H1800" s="91" t="n"/>
      <c r="I1800" s="91" t="n"/>
      <c r="J1800" s="91" t="n"/>
      <c r="K1800" s="91" t="n"/>
      <c r="L1800" s="91" t="n"/>
      <c r="M1800" s="95" t="n"/>
      <c r="N1800" s="91" t="n"/>
      <c r="O1800" s="91" t="n"/>
      <c r="P1800" s="91" t="n"/>
    </row>
    <row r="1801" ht="32" customHeight="1">
      <c r="A1801" s="92" t="n"/>
      <c r="B1801" s="92" t="n"/>
      <c r="C1801" s="92" t="n"/>
      <c r="D1801" s="92" t="n"/>
      <c r="E1801" s="92" t="n"/>
      <c r="F1801" s="96" t="n"/>
      <c r="G1801" s="96" t="n"/>
      <c r="H1801" s="92" t="n"/>
      <c r="I1801" s="92" t="n"/>
      <c r="J1801" s="92" t="n"/>
      <c r="K1801" s="92" t="n"/>
      <c r="L1801" s="92" t="n"/>
      <c r="M1801" s="97" t="n"/>
      <c r="N1801" s="92" t="n"/>
      <c r="O1801" s="92" t="n"/>
      <c r="P1801" s="92" t="n"/>
    </row>
    <row r="1802" ht="32" customHeight="1">
      <c r="A1802" s="91" t="n"/>
      <c r="B1802" s="91" t="n"/>
      <c r="C1802" s="91" t="n"/>
      <c r="D1802" s="91" t="n"/>
      <c r="E1802" s="91" t="n"/>
      <c r="F1802" s="94" t="n"/>
      <c r="G1802" s="94" t="n"/>
      <c r="H1802" s="91" t="n"/>
      <c r="I1802" s="91" t="n"/>
      <c r="J1802" s="91" t="n"/>
      <c r="K1802" s="91" t="n"/>
      <c r="L1802" s="91" t="n"/>
      <c r="M1802" s="95" t="n"/>
      <c r="N1802" s="91" t="n"/>
      <c r="O1802" s="91" t="n"/>
      <c r="P1802" s="91" t="n"/>
    </row>
    <row r="1803" ht="32" customHeight="1">
      <c r="A1803" s="92" t="n"/>
      <c r="B1803" s="92" t="n"/>
      <c r="C1803" s="92" t="n"/>
      <c r="D1803" s="92" t="n"/>
      <c r="E1803" s="92" t="n"/>
      <c r="F1803" s="96" t="n"/>
      <c r="G1803" s="96" t="n"/>
      <c r="H1803" s="92" t="n"/>
      <c r="I1803" s="92" t="n"/>
      <c r="J1803" s="92" t="n"/>
      <c r="K1803" s="92" t="n"/>
      <c r="L1803" s="92" t="n"/>
      <c r="M1803" s="97" t="n"/>
      <c r="N1803" s="92" t="n"/>
      <c r="O1803" s="92" t="n"/>
      <c r="P1803" s="92" t="n"/>
    </row>
    <row r="1804" ht="32" customHeight="1">
      <c r="A1804" s="91" t="n"/>
      <c r="B1804" s="91" t="n"/>
      <c r="C1804" s="91" t="n"/>
      <c r="D1804" s="91" t="n"/>
      <c r="E1804" s="91" t="n"/>
      <c r="F1804" s="94" t="n"/>
      <c r="G1804" s="94" t="n"/>
      <c r="H1804" s="91" t="n"/>
      <c r="I1804" s="91" t="n"/>
      <c r="J1804" s="91" t="n"/>
      <c r="K1804" s="91" t="n"/>
      <c r="L1804" s="91" t="n"/>
      <c r="M1804" s="95" t="n"/>
      <c r="N1804" s="91" t="n"/>
      <c r="O1804" s="91" t="n"/>
      <c r="P1804" s="91" t="n"/>
    </row>
    <row r="1805" ht="32" customHeight="1">
      <c r="A1805" s="92" t="n"/>
      <c r="B1805" s="92" t="n"/>
      <c r="C1805" s="92" t="n"/>
      <c r="D1805" s="92" t="n"/>
      <c r="E1805" s="92" t="n"/>
      <c r="F1805" s="96" t="n"/>
      <c r="G1805" s="96" t="n"/>
      <c r="H1805" s="92" t="n"/>
      <c r="I1805" s="92" t="n"/>
      <c r="J1805" s="92" t="n"/>
      <c r="K1805" s="92" t="n"/>
      <c r="L1805" s="92" t="n"/>
      <c r="M1805" s="97" t="n"/>
      <c r="N1805" s="92" t="n"/>
      <c r="O1805" s="92" t="n"/>
      <c r="P1805" s="92" t="n"/>
    </row>
    <row r="1806" ht="32" customHeight="1">
      <c r="A1806" s="91" t="n"/>
      <c r="B1806" s="91" t="n"/>
      <c r="C1806" s="91" t="n"/>
      <c r="D1806" s="91" t="n"/>
      <c r="E1806" s="91" t="n"/>
      <c r="F1806" s="94" t="n"/>
      <c r="G1806" s="94" t="n"/>
      <c r="H1806" s="91" t="n"/>
      <c r="I1806" s="91" t="n"/>
      <c r="J1806" s="91" t="n"/>
      <c r="K1806" s="91" t="n"/>
      <c r="L1806" s="91" t="n"/>
      <c r="M1806" s="95" t="n"/>
      <c r="N1806" s="91" t="n"/>
      <c r="O1806" s="91" t="n"/>
      <c r="P1806" s="91" t="n"/>
    </row>
    <row r="1807" ht="32" customHeight="1">
      <c r="A1807" s="92" t="n"/>
      <c r="B1807" s="92" t="n"/>
      <c r="C1807" s="92" t="n"/>
      <c r="D1807" s="92" t="n"/>
      <c r="E1807" s="92" t="n"/>
      <c r="F1807" s="96" t="n"/>
      <c r="G1807" s="96" t="n"/>
      <c r="H1807" s="92" t="n"/>
      <c r="I1807" s="92" t="n"/>
      <c r="J1807" s="92" t="n"/>
      <c r="K1807" s="92" t="n"/>
      <c r="L1807" s="92" t="n"/>
      <c r="M1807" s="97" t="n"/>
      <c r="N1807" s="92" t="n"/>
      <c r="O1807" s="92" t="n"/>
      <c r="P1807" s="92" t="n"/>
    </row>
    <row r="1808" ht="32" customHeight="1">
      <c r="A1808" s="91" t="n"/>
      <c r="B1808" s="91" t="n"/>
      <c r="C1808" s="91" t="n"/>
      <c r="D1808" s="91" t="n"/>
      <c r="E1808" s="91" t="n"/>
      <c r="F1808" s="94" t="n"/>
      <c r="G1808" s="94" t="n"/>
      <c r="H1808" s="91" t="n"/>
      <c r="I1808" s="91" t="n"/>
      <c r="J1808" s="91" t="n"/>
      <c r="K1808" s="91" t="n"/>
      <c r="L1808" s="91" t="n"/>
      <c r="M1808" s="95" t="n"/>
      <c r="N1808" s="91" t="n"/>
      <c r="O1808" s="91" t="n"/>
      <c r="P1808" s="91" t="n"/>
    </row>
    <row r="1809" ht="32" customHeight="1">
      <c r="A1809" s="92" t="n"/>
      <c r="B1809" s="92" t="n"/>
      <c r="C1809" s="92" t="n"/>
      <c r="D1809" s="92" t="n"/>
      <c r="E1809" s="92" t="n"/>
      <c r="F1809" s="96" t="n"/>
      <c r="G1809" s="96" t="n"/>
      <c r="H1809" s="92" t="n"/>
      <c r="I1809" s="92" t="n"/>
      <c r="J1809" s="92" t="n"/>
      <c r="K1809" s="92" t="n"/>
      <c r="L1809" s="92" t="n"/>
      <c r="M1809" s="97" t="n"/>
      <c r="N1809" s="92" t="n"/>
      <c r="O1809" s="92" t="n"/>
      <c r="P1809" s="92" t="n"/>
    </row>
    <row r="1810" ht="32" customHeight="1">
      <c r="A1810" s="91" t="n"/>
      <c r="B1810" s="91" t="n"/>
      <c r="C1810" s="91" t="n"/>
      <c r="D1810" s="91" t="n"/>
      <c r="E1810" s="91" t="n"/>
      <c r="F1810" s="94" t="n"/>
      <c r="G1810" s="94" t="n"/>
      <c r="H1810" s="91" t="n"/>
      <c r="I1810" s="91" t="n"/>
      <c r="J1810" s="91" t="n"/>
      <c r="K1810" s="91" t="n"/>
      <c r="L1810" s="91" t="n"/>
      <c r="M1810" s="95" t="n"/>
      <c r="N1810" s="91" t="n"/>
      <c r="O1810" s="91" t="n"/>
      <c r="P1810" s="91" t="n"/>
    </row>
    <row r="1811" ht="32" customHeight="1">
      <c r="A1811" s="92" t="n"/>
      <c r="B1811" s="92" t="n"/>
      <c r="C1811" s="92" t="n"/>
      <c r="D1811" s="92" t="n"/>
      <c r="E1811" s="92" t="n"/>
      <c r="F1811" s="96" t="n"/>
      <c r="G1811" s="96" t="n"/>
      <c r="H1811" s="92" t="n"/>
      <c r="I1811" s="92" t="n"/>
      <c r="J1811" s="92" t="n"/>
      <c r="K1811" s="92" t="n"/>
      <c r="L1811" s="92" t="n"/>
      <c r="M1811" s="97" t="n"/>
      <c r="N1811" s="92" t="n"/>
      <c r="O1811" s="92" t="n"/>
      <c r="P1811" s="92" t="n"/>
    </row>
    <row r="1812" ht="32" customHeight="1">
      <c r="A1812" s="91" t="n"/>
      <c r="B1812" s="91" t="n"/>
      <c r="C1812" s="91" t="n"/>
      <c r="D1812" s="91" t="n"/>
      <c r="E1812" s="91" t="n"/>
      <c r="F1812" s="94" t="n"/>
      <c r="G1812" s="94" t="n"/>
      <c r="H1812" s="91" t="n"/>
      <c r="I1812" s="91" t="n"/>
      <c r="J1812" s="91" t="n"/>
      <c r="K1812" s="91" t="n"/>
      <c r="L1812" s="91" t="n"/>
      <c r="M1812" s="95" t="n"/>
      <c r="N1812" s="91" t="n"/>
      <c r="O1812" s="91" t="n"/>
      <c r="P1812" s="91" t="n"/>
    </row>
    <row r="1813" ht="32" customHeight="1">
      <c r="A1813" s="92" t="n"/>
      <c r="B1813" s="92" t="n"/>
      <c r="C1813" s="92" t="n"/>
      <c r="D1813" s="92" t="n"/>
      <c r="E1813" s="92" t="n"/>
      <c r="F1813" s="96" t="n"/>
      <c r="G1813" s="96" t="n"/>
      <c r="H1813" s="92" t="n"/>
      <c r="I1813" s="92" t="n"/>
      <c r="J1813" s="92" t="n"/>
      <c r="K1813" s="92" t="n"/>
      <c r="L1813" s="92" t="n"/>
      <c r="M1813" s="97" t="n"/>
      <c r="N1813" s="92" t="n"/>
      <c r="O1813" s="92" t="n"/>
      <c r="P1813" s="92" t="n"/>
    </row>
    <row r="1814" ht="32" customHeight="1">
      <c r="A1814" s="91" t="n"/>
      <c r="B1814" s="91" t="n"/>
      <c r="C1814" s="91" t="n"/>
      <c r="D1814" s="91" t="n"/>
      <c r="E1814" s="91" t="n"/>
      <c r="F1814" s="94" t="n"/>
      <c r="G1814" s="94" t="n"/>
      <c r="H1814" s="91" t="n"/>
      <c r="I1814" s="91" t="n"/>
      <c r="J1814" s="91" t="n"/>
      <c r="K1814" s="91" t="n"/>
      <c r="L1814" s="91" t="n"/>
      <c r="M1814" s="95" t="n"/>
      <c r="N1814" s="91" t="n"/>
      <c r="O1814" s="91" t="n"/>
      <c r="P1814" s="91" t="n"/>
    </row>
    <row r="1815" ht="32" customHeight="1">
      <c r="A1815" s="92" t="n"/>
      <c r="B1815" s="92" t="n"/>
      <c r="C1815" s="92" t="n"/>
      <c r="D1815" s="92" t="n"/>
      <c r="E1815" s="92" t="n"/>
      <c r="F1815" s="96" t="n"/>
      <c r="G1815" s="96" t="n"/>
      <c r="H1815" s="92" t="n"/>
      <c r="I1815" s="92" t="n"/>
      <c r="J1815" s="92" t="n"/>
      <c r="K1815" s="92" t="n"/>
      <c r="L1815" s="92" t="n"/>
      <c r="M1815" s="97" t="n"/>
      <c r="N1815" s="92" t="n"/>
      <c r="O1815" s="92" t="n"/>
      <c r="P1815" s="92" t="n"/>
    </row>
    <row r="1816" ht="32" customHeight="1">
      <c r="A1816" s="91" t="n"/>
      <c r="B1816" s="91" t="n"/>
      <c r="C1816" s="91" t="n"/>
      <c r="D1816" s="91" t="n"/>
      <c r="E1816" s="91" t="n"/>
      <c r="F1816" s="94" t="n"/>
      <c r="G1816" s="94" t="n"/>
      <c r="H1816" s="91" t="n"/>
      <c r="I1816" s="91" t="n"/>
      <c r="J1816" s="91" t="n"/>
      <c r="K1816" s="91" t="n"/>
      <c r="L1816" s="91" t="n"/>
      <c r="M1816" s="95" t="n"/>
      <c r="N1816" s="91" t="n"/>
      <c r="O1816" s="91" t="n"/>
      <c r="P1816" s="91" t="n"/>
    </row>
    <row r="1817" ht="32" customHeight="1">
      <c r="A1817" s="92" t="n"/>
      <c r="B1817" s="92" t="n"/>
      <c r="C1817" s="92" t="n"/>
      <c r="D1817" s="92" t="n"/>
      <c r="E1817" s="92" t="n"/>
      <c r="F1817" s="96" t="n"/>
      <c r="G1817" s="96" t="n"/>
      <c r="H1817" s="92" t="n"/>
      <c r="I1817" s="92" t="n"/>
      <c r="J1817" s="92" t="n"/>
      <c r="K1817" s="92" t="n"/>
      <c r="L1817" s="92" t="n"/>
      <c r="M1817" s="97" t="n"/>
      <c r="N1817" s="92" t="n"/>
      <c r="O1817" s="92" t="n"/>
      <c r="P1817" s="92" t="n"/>
    </row>
    <row r="1818" ht="32" customHeight="1">
      <c r="A1818" s="91" t="n"/>
      <c r="B1818" s="91" t="n"/>
      <c r="C1818" s="91" t="n"/>
      <c r="D1818" s="91" t="n"/>
      <c r="E1818" s="91" t="n"/>
      <c r="F1818" s="94" t="n"/>
      <c r="G1818" s="94" t="n"/>
      <c r="H1818" s="91" t="n"/>
      <c r="I1818" s="91" t="n"/>
      <c r="J1818" s="91" t="n"/>
      <c r="K1818" s="91" t="n"/>
      <c r="L1818" s="91" t="n"/>
      <c r="M1818" s="95" t="n"/>
      <c r="N1818" s="91" t="n"/>
      <c r="O1818" s="91" t="n"/>
      <c r="P1818" s="91" t="n"/>
    </row>
    <row r="1819" ht="32" customHeight="1">
      <c r="A1819" s="92" t="n"/>
      <c r="B1819" s="92" t="n"/>
      <c r="C1819" s="92" t="n"/>
      <c r="D1819" s="92" t="n"/>
      <c r="E1819" s="92" t="n"/>
      <c r="F1819" s="96" t="n"/>
      <c r="G1819" s="96" t="n"/>
      <c r="H1819" s="92" t="n"/>
      <c r="I1819" s="92" t="n"/>
      <c r="J1819" s="92" t="n"/>
      <c r="K1819" s="92" t="n"/>
      <c r="L1819" s="92" t="n"/>
      <c r="M1819" s="97" t="n"/>
      <c r="N1819" s="92" t="n"/>
      <c r="O1819" s="92" t="n"/>
      <c r="P1819" s="92" t="n"/>
    </row>
    <row r="1820" ht="32" customHeight="1">
      <c r="A1820" s="91" t="n"/>
      <c r="B1820" s="91" t="n"/>
      <c r="C1820" s="91" t="n"/>
      <c r="D1820" s="91" t="n"/>
      <c r="E1820" s="91" t="n"/>
      <c r="F1820" s="94" t="n"/>
      <c r="G1820" s="94" t="n"/>
      <c r="H1820" s="91" t="n"/>
      <c r="I1820" s="91" t="n"/>
      <c r="J1820" s="91" t="n"/>
      <c r="K1820" s="91" t="n"/>
      <c r="L1820" s="91" t="n"/>
      <c r="M1820" s="95" t="n"/>
      <c r="N1820" s="91" t="n"/>
      <c r="O1820" s="91" t="n"/>
      <c r="P1820" s="91" t="n"/>
    </row>
    <row r="1821" ht="32" customHeight="1">
      <c r="A1821" s="92" t="n"/>
      <c r="B1821" s="92" t="n"/>
      <c r="C1821" s="92" t="n"/>
      <c r="D1821" s="92" t="n"/>
      <c r="E1821" s="92" t="n"/>
      <c r="F1821" s="96" t="n"/>
      <c r="G1821" s="96" t="n"/>
      <c r="H1821" s="92" t="n"/>
      <c r="I1821" s="92" t="n"/>
      <c r="J1821" s="92" t="n"/>
      <c r="K1821" s="92" t="n"/>
      <c r="L1821" s="92" t="n"/>
      <c r="M1821" s="97" t="n"/>
      <c r="N1821" s="92" t="n"/>
      <c r="O1821" s="92" t="n"/>
      <c r="P1821" s="92" t="n"/>
    </row>
    <row r="1822" ht="32" customHeight="1">
      <c r="A1822" s="91" t="n"/>
      <c r="B1822" s="91" t="n"/>
      <c r="C1822" s="91" t="n"/>
      <c r="D1822" s="91" t="n"/>
      <c r="E1822" s="91" t="n"/>
      <c r="F1822" s="94" t="n"/>
      <c r="G1822" s="94" t="n"/>
      <c r="H1822" s="91" t="n"/>
      <c r="I1822" s="91" t="n"/>
      <c r="J1822" s="91" t="n"/>
      <c r="K1822" s="91" t="n"/>
      <c r="L1822" s="91" t="n"/>
      <c r="M1822" s="95" t="n"/>
      <c r="N1822" s="91" t="n"/>
      <c r="O1822" s="91" t="n"/>
      <c r="P1822" s="91" t="n"/>
    </row>
    <row r="1823" ht="32" customHeight="1">
      <c r="A1823" s="92" t="n"/>
      <c r="B1823" s="92" t="n"/>
      <c r="C1823" s="92" t="n"/>
      <c r="D1823" s="92" t="n"/>
      <c r="E1823" s="92" t="n"/>
      <c r="F1823" s="96" t="n"/>
      <c r="G1823" s="96" t="n"/>
      <c r="H1823" s="92" t="n"/>
      <c r="I1823" s="92" t="n"/>
      <c r="J1823" s="92" t="n"/>
      <c r="K1823" s="92" t="n"/>
      <c r="L1823" s="92" t="n"/>
      <c r="M1823" s="97" t="n"/>
      <c r="N1823" s="92" t="n"/>
      <c r="O1823" s="92" t="n"/>
      <c r="P1823" s="92" t="n"/>
    </row>
    <row r="1824" ht="32" customHeight="1">
      <c r="A1824" s="91" t="n"/>
      <c r="B1824" s="91" t="n"/>
      <c r="C1824" s="91" t="n"/>
      <c r="D1824" s="91" t="n"/>
      <c r="E1824" s="91" t="n"/>
      <c r="F1824" s="94" t="n"/>
      <c r="G1824" s="94" t="n"/>
      <c r="H1824" s="91" t="n"/>
      <c r="I1824" s="91" t="n"/>
      <c r="J1824" s="91" t="n"/>
      <c r="K1824" s="91" t="n"/>
      <c r="L1824" s="91" t="n"/>
      <c r="M1824" s="95" t="n"/>
      <c r="N1824" s="91" t="n"/>
      <c r="O1824" s="91" t="n"/>
      <c r="P1824" s="91" t="n"/>
    </row>
    <row r="1825" ht="32" customHeight="1">
      <c r="A1825" s="92" t="n"/>
      <c r="B1825" s="92" t="n"/>
      <c r="C1825" s="92" t="n"/>
      <c r="D1825" s="92" t="n"/>
      <c r="E1825" s="92" t="n"/>
      <c r="F1825" s="96" t="n"/>
      <c r="G1825" s="96" t="n"/>
      <c r="H1825" s="92" t="n"/>
      <c r="I1825" s="92" t="n"/>
      <c r="J1825" s="92" t="n"/>
      <c r="K1825" s="92" t="n"/>
      <c r="L1825" s="92" t="n"/>
      <c r="M1825" s="97" t="n"/>
      <c r="N1825" s="92" t="n"/>
      <c r="O1825" s="92" t="n"/>
      <c r="P1825" s="92" t="n"/>
    </row>
    <row r="1826" ht="32" customHeight="1">
      <c r="A1826" s="91" t="n"/>
      <c r="B1826" s="91" t="n"/>
      <c r="C1826" s="91" t="n"/>
      <c r="D1826" s="91" t="n"/>
      <c r="E1826" s="91" t="n"/>
      <c r="F1826" s="94" t="n"/>
      <c r="G1826" s="94" t="n"/>
      <c r="H1826" s="91" t="n"/>
      <c r="I1826" s="91" t="n"/>
      <c r="J1826" s="91" t="n"/>
      <c r="K1826" s="91" t="n"/>
      <c r="L1826" s="91" t="n"/>
      <c r="M1826" s="95" t="n"/>
      <c r="N1826" s="91" t="n"/>
      <c r="O1826" s="91" t="n"/>
      <c r="P1826" s="91" t="n"/>
    </row>
    <row r="1827" ht="32" customHeight="1">
      <c r="A1827" s="92" t="n"/>
      <c r="B1827" s="92" t="n"/>
      <c r="C1827" s="92" t="n"/>
      <c r="D1827" s="92" t="n"/>
      <c r="E1827" s="92" t="n"/>
      <c r="F1827" s="96" t="n"/>
      <c r="G1827" s="96" t="n"/>
      <c r="H1827" s="92" t="n"/>
      <c r="I1827" s="92" t="n"/>
      <c r="J1827" s="92" t="n"/>
      <c r="K1827" s="92" t="n"/>
      <c r="L1827" s="92" t="n"/>
      <c r="M1827" s="97" t="n"/>
      <c r="N1827" s="92" t="n"/>
      <c r="O1827" s="92" t="n"/>
      <c r="P1827" s="92" t="n"/>
    </row>
    <row r="1828" ht="32" customHeight="1">
      <c r="A1828" s="91" t="n"/>
      <c r="B1828" s="91" t="n"/>
      <c r="C1828" s="91" t="n"/>
      <c r="D1828" s="91" t="n"/>
      <c r="E1828" s="91" t="n"/>
      <c r="F1828" s="94" t="n"/>
      <c r="G1828" s="94" t="n"/>
      <c r="H1828" s="91" t="n"/>
      <c r="I1828" s="91" t="n"/>
      <c r="J1828" s="91" t="n"/>
      <c r="K1828" s="91" t="n"/>
      <c r="L1828" s="91" t="n"/>
      <c r="M1828" s="95" t="n"/>
      <c r="N1828" s="91" t="n"/>
      <c r="O1828" s="91" t="n"/>
      <c r="P1828" s="91" t="n"/>
    </row>
    <row r="1829" ht="32" customHeight="1">
      <c r="A1829" s="92" t="n"/>
      <c r="B1829" s="92" t="n"/>
      <c r="C1829" s="92" t="n"/>
      <c r="D1829" s="92" t="n"/>
      <c r="E1829" s="92" t="n"/>
      <c r="F1829" s="96" t="n"/>
      <c r="G1829" s="96" t="n"/>
      <c r="H1829" s="92" t="n"/>
      <c r="I1829" s="92" t="n"/>
      <c r="J1829" s="92" t="n"/>
      <c r="K1829" s="92" t="n"/>
      <c r="L1829" s="92" t="n"/>
      <c r="M1829" s="97" t="n"/>
      <c r="N1829" s="92" t="n"/>
      <c r="O1829" s="92" t="n"/>
      <c r="P1829" s="92" t="n"/>
    </row>
    <row r="1830" ht="32" customHeight="1">
      <c r="A1830" s="91" t="n"/>
      <c r="B1830" s="91" t="n"/>
      <c r="C1830" s="91" t="n"/>
      <c r="D1830" s="91" t="n"/>
      <c r="E1830" s="91" t="n"/>
      <c r="F1830" s="94" t="n"/>
      <c r="G1830" s="94" t="n"/>
      <c r="H1830" s="91" t="n"/>
      <c r="I1830" s="91" t="n"/>
      <c r="J1830" s="91" t="n"/>
      <c r="K1830" s="91" t="n"/>
      <c r="L1830" s="91" t="n"/>
      <c r="M1830" s="95" t="n"/>
      <c r="N1830" s="91" t="n"/>
      <c r="O1830" s="91" t="n"/>
      <c r="P1830" s="91" t="n"/>
    </row>
    <row r="1831" ht="32" customHeight="1">
      <c r="A1831" s="92" t="n"/>
      <c r="B1831" s="92" t="n"/>
      <c r="C1831" s="92" t="n"/>
      <c r="D1831" s="92" t="n"/>
      <c r="E1831" s="92" t="n"/>
      <c r="F1831" s="96" t="n"/>
      <c r="G1831" s="96" t="n"/>
      <c r="H1831" s="92" t="n"/>
      <c r="I1831" s="92" t="n"/>
      <c r="J1831" s="92" t="n"/>
      <c r="K1831" s="92" t="n"/>
      <c r="L1831" s="92" t="n"/>
      <c r="M1831" s="97" t="n"/>
      <c r="N1831" s="92" t="n"/>
      <c r="O1831" s="92" t="n"/>
      <c r="P1831" s="92" t="n"/>
    </row>
    <row r="1832" ht="32" customHeight="1">
      <c r="A1832" s="91" t="n"/>
      <c r="B1832" s="91" t="n"/>
      <c r="C1832" s="91" t="n"/>
      <c r="D1832" s="91" t="n"/>
      <c r="E1832" s="91" t="n"/>
      <c r="F1832" s="94" t="n"/>
      <c r="G1832" s="94" t="n"/>
      <c r="H1832" s="91" t="n"/>
      <c r="I1832" s="91" t="n"/>
      <c r="J1832" s="91" t="n"/>
      <c r="K1832" s="91" t="n"/>
      <c r="L1832" s="91" t="n"/>
      <c r="M1832" s="95" t="n"/>
      <c r="N1832" s="91" t="n"/>
      <c r="O1832" s="91" t="n"/>
      <c r="P1832" s="91" t="n"/>
    </row>
    <row r="1833" ht="32" customHeight="1">
      <c r="A1833" s="92" t="n"/>
      <c r="B1833" s="92" t="n"/>
      <c r="C1833" s="92" t="n"/>
      <c r="D1833" s="92" t="n"/>
      <c r="E1833" s="92" t="n"/>
      <c r="F1833" s="96" t="n"/>
      <c r="G1833" s="96" t="n"/>
      <c r="H1833" s="92" t="n"/>
      <c r="I1833" s="92" t="n"/>
      <c r="J1833" s="92" t="n"/>
      <c r="K1833" s="92" t="n"/>
      <c r="L1833" s="92" t="n"/>
      <c r="M1833" s="97" t="n"/>
      <c r="N1833" s="92" t="n"/>
      <c r="O1833" s="92" t="n"/>
      <c r="P1833" s="92" t="n"/>
    </row>
    <row r="1834" ht="32" customHeight="1">
      <c r="A1834" s="91" t="n"/>
      <c r="B1834" s="91" t="n"/>
      <c r="C1834" s="91" t="n"/>
      <c r="D1834" s="91" t="n"/>
      <c r="E1834" s="91" t="n"/>
      <c r="F1834" s="94" t="n"/>
      <c r="G1834" s="94" t="n"/>
      <c r="H1834" s="91" t="n"/>
      <c r="I1834" s="91" t="n"/>
      <c r="J1834" s="91" t="n"/>
      <c r="K1834" s="91" t="n"/>
      <c r="L1834" s="91" t="n"/>
      <c r="M1834" s="95" t="n"/>
      <c r="N1834" s="91" t="n"/>
      <c r="O1834" s="91" t="n"/>
      <c r="P1834" s="91" t="n"/>
    </row>
    <row r="1835" ht="32" customHeight="1">
      <c r="A1835" s="92" t="n"/>
      <c r="B1835" s="92" t="n"/>
      <c r="C1835" s="92" t="n"/>
      <c r="D1835" s="92" t="n"/>
      <c r="E1835" s="92" t="n"/>
      <c r="F1835" s="96" t="n"/>
      <c r="G1835" s="96" t="n"/>
      <c r="H1835" s="92" t="n"/>
      <c r="I1835" s="92" t="n"/>
      <c r="J1835" s="92" t="n"/>
      <c r="K1835" s="92" t="n"/>
      <c r="L1835" s="92" t="n"/>
      <c r="M1835" s="97" t="n"/>
      <c r="N1835" s="92" t="n"/>
      <c r="O1835" s="92" t="n"/>
      <c r="P1835" s="92" t="n"/>
    </row>
    <row r="1836" ht="32" customHeight="1">
      <c r="A1836" s="91" t="n"/>
      <c r="B1836" s="91" t="n"/>
      <c r="C1836" s="91" t="n"/>
      <c r="D1836" s="91" t="n"/>
      <c r="E1836" s="91" t="n"/>
      <c r="F1836" s="94" t="n"/>
      <c r="G1836" s="94" t="n"/>
      <c r="H1836" s="91" t="n"/>
      <c r="I1836" s="91" t="n"/>
      <c r="J1836" s="91" t="n"/>
      <c r="K1836" s="91" t="n"/>
      <c r="L1836" s="91" t="n"/>
      <c r="M1836" s="95" t="n"/>
      <c r="N1836" s="91" t="n"/>
      <c r="O1836" s="91" t="n"/>
      <c r="P1836" s="91" t="n"/>
    </row>
    <row r="1837" ht="32" customHeight="1">
      <c r="A1837" s="92" t="n"/>
      <c r="B1837" s="92" t="n"/>
      <c r="C1837" s="92" t="n"/>
      <c r="D1837" s="92" t="n"/>
      <c r="E1837" s="92" t="n"/>
      <c r="F1837" s="96" t="n"/>
      <c r="G1837" s="96" t="n"/>
      <c r="H1837" s="92" t="n"/>
      <c r="I1837" s="92" t="n"/>
      <c r="J1837" s="92" t="n"/>
      <c r="K1837" s="92" t="n"/>
      <c r="L1837" s="92" t="n"/>
      <c r="M1837" s="97" t="n"/>
      <c r="N1837" s="92" t="n"/>
      <c r="O1837" s="92" t="n"/>
      <c r="P1837" s="92" t="n"/>
    </row>
    <row r="1838" ht="32" customHeight="1">
      <c r="A1838" s="91" t="n"/>
      <c r="B1838" s="91" t="n"/>
      <c r="C1838" s="91" t="n"/>
      <c r="D1838" s="91" t="n"/>
      <c r="E1838" s="91" t="n"/>
      <c r="F1838" s="94" t="n"/>
      <c r="G1838" s="94" t="n"/>
      <c r="H1838" s="91" t="n"/>
      <c r="I1838" s="91" t="n"/>
      <c r="J1838" s="91" t="n"/>
      <c r="K1838" s="91" t="n"/>
      <c r="L1838" s="91" t="n"/>
      <c r="M1838" s="95" t="n"/>
      <c r="N1838" s="91" t="n"/>
      <c r="O1838" s="91" t="n"/>
      <c r="P1838" s="91" t="n"/>
    </row>
    <row r="1839" ht="32" customHeight="1">
      <c r="A1839" s="92" t="n"/>
      <c r="B1839" s="92" t="n"/>
      <c r="C1839" s="92" t="n"/>
      <c r="D1839" s="92" t="n"/>
      <c r="E1839" s="92" t="n"/>
      <c r="F1839" s="96" t="n"/>
      <c r="G1839" s="96" t="n"/>
      <c r="H1839" s="92" t="n"/>
      <c r="I1839" s="92" t="n"/>
      <c r="J1839" s="92" t="n"/>
      <c r="K1839" s="92" t="n"/>
      <c r="L1839" s="92" t="n"/>
      <c r="M1839" s="97" t="n"/>
      <c r="N1839" s="92" t="n"/>
      <c r="O1839" s="92" t="n"/>
      <c r="P1839" s="92" t="n"/>
    </row>
    <row r="1840" ht="32" customHeight="1">
      <c r="A1840" s="91" t="n"/>
      <c r="B1840" s="91" t="n"/>
      <c r="C1840" s="91" t="n"/>
      <c r="D1840" s="91" t="n"/>
      <c r="E1840" s="91" t="n"/>
      <c r="F1840" s="94" t="n"/>
      <c r="G1840" s="94" t="n"/>
      <c r="H1840" s="91" t="n"/>
      <c r="I1840" s="91" t="n"/>
      <c r="J1840" s="91" t="n"/>
      <c r="K1840" s="91" t="n"/>
      <c r="L1840" s="91" t="n"/>
      <c r="M1840" s="95" t="n"/>
      <c r="N1840" s="91" t="n"/>
      <c r="O1840" s="91" t="n"/>
      <c r="P1840" s="91" t="n"/>
    </row>
    <row r="1841" ht="32" customHeight="1">
      <c r="A1841" s="92" t="n"/>
      <c r="B1841" s="92" t="n"/>
      <c r="C1841" s="92" t="n"/>
      <c r="D1841" s="92" t="n"/>
      <c r="E1841" s="92" t="n"/>
      <c r="F1841" s="96" t="n"/>
      <c r="G1841" s="96" t="n"/>
      <c r="H1841" s="92" t="n"/>
      <c r="I1841" s="92" t="n"/>
      <c r="J1841" s="92" t="n"/>
      <c r="K1841" s="92" t="n"/>
      <c r="L1841" s="92" t="n"/>
      <c r="M1841" s="97" t="n"/>
      <c r="N1841" s="92" t="n"/>
      <c r="O1841" s="92" t="n"/>
      <c r="P1841" s="92" t="n"/>
    </row>
    <row r="1842" ht="32" customHeight="1">
      <c r="A1842" s="91" t="n"/>
      <c r="B1842" s="91" t="n"/>
      <c r="C1842" s="91" t="n"/>
      <c r="D1842" s="91" t="n"/>
      <c r="E1842" s="91" t="n"/>
      <c r="F1842" s="94" t="n"/>
      <c r="G1842" s="94" t="n"/>
      <c r="H1842" s="91" t="n"/>
      <c r="I1842" s="91" t="n"/>
      <c r="J1842" s="91" t="n"/>
      <c r="K1842" s="91" t="n"/>
      <c r="L1842" s="91" t="n"/>
      <c r="M1842" s="95" t="n"/>
      <c r="N1842" s="91" t="n"/>
      <c r="O1842" s="91" t="n"/>
      <c r="P1842" s="91" t="n"/>
    </row>
    <row r="1843" ht="32" customHeight="1">
      <c r="A1843" s="92" t="n"/>
      <c r="B1843" s="92" t="n"/>
      <c r="C1843" s="92" t="n"/>
      <c r="D1843" s="92" t="n"/>
      <c r="E1843" s="92" t="n"/>
      <c r="F1843" s="96" t="n"/>
      <c r="G1843" s="96" t="n"/>
      <c r="H1843" s="92" t="n"/>
      <c r="I1843" s="92" t="n"/>
      <c r="J1843" s="92" t="n"/>
      <c r="K1843" s="92" t="n"/>
      <c r="L1843" s="92" t="n"/>
      <c r="M1843" s="97" t="n"/>
      <c r="N1843" s="92" t="n"/>
      <c r="O1843" s="92" t="n"/>
      <c r="P1843" s="92" t="n"/>
    </row>
    <row r="1844" ht="32" customHeight="1">
      <c r="A1844" s="91" t="n"/>
      <c r="B1844" s="91" t="n"/>
      <c r="C1844" s="91" t="n"/>
      <c r="D1844" s="91" t="n"/>
      <c r="E1844" s="91" t="n"/>
      <c r="F1844" s="94" t="n"/>
      <c r="G1844" s="94" t="n"/>
      <c r="H1844" s="91" t="n"/>
      <c r="I1844" s="91" t="n"/>
      <c r="J1844" s="91" t="n"/>
      <c r="K1844" s="91" t="n"/>
      <c r="L1844" s="91" t="n"/>
      <c r="M1844" s="95" t="n"/>
      <c r="N1844" s="91" t="n"/>
      <c r="O1844" s="91" t="n"/>
      <c r="P1844" s="91" t="n"/>
    </row>
    <row r="1845" ht="32" customHeight="1">
      <c r="A1845" s="92" t="n"/>
      <c r="B1845" s="92" t="n"/>
      <c r="C1845" s="92" t="n"/>
      <c r="D1845" s="92" t="n"/>
      <c r="E1845" s="92" t="n"/>
      <c r="F1845" s="96" t="n"/>
      <c r="G1845" s="96" t="n"/>
      <c r="H1845" s="92" t="n"/>
      <c r="I1845" s="92" t="n"/>
      <c r="J1845" s="92" t="n"/>
      <c r="K1845" s="92" t="n"/>
      <c r="L1845" s="92" t="n"/>
      <c r="M1845" s="97" t="n"/>
      <c r="N1845" s="92" t="n"/>
      <c r="O1845" s="92" t="n"/>
      <c r="P1845" s="92" t="n"/>
    </row>
    <row r="1846" ht="32" customHeight="1">
      <c r="A1846" s="91" t="n"/>
      <c r="B1846" s="91" t="n"/>
      <c r="C1846" s="91" t="n"/>
      <c r="D1846" s="91" t="n"/>
      <c r="E1846" s="91" t="n"/>
      <c r="F1846" s="94" t="n"/>
      <c r="G1846" s="94" t="n"/>
      <c r="H1846" s="91" t="n"/>
      <c r="I1846" s="91" t="n"/>
      <c r="J1846" s="91" t="n"/>
      <c r="K1846" s="91" t="n"/>
      <c r="L1846" s="91" t="n"/>
      <c r="M1846" s="95" t="n"/>
      <c r="N1846" s="91" t="n"/>
      <c r="O1846" s="91" t="n"/>
      <c r="P1846" s="91" t="n"/>
    </row>
    <row r="1847" ht="32" customHeight="1">
      <c r="A1847" s="92" t="n"/>
      <c r="B1847" s="92" t="n"/>
      <c r="C1847" s="92" t="n"/>
      <c r="D1847" s="92" t="n"/>
      <c r="E1847" s="92" t="n"/>
      <c r="F1847" s="96" t="n"/>
      <c r="G1847" s="96" t="n"/>
      <c r="H1847" s="92" t="n"/>
      <c r="I1847" s="92" t="n"/>
      <c r="J1847" s="92" t="n"/>
      <c r="K1847" s="92" t="n"/>
      <c r="L1847" s="92" t="n"/>
      <c r="M1847" s="97" t="n"/>
      <c r="N1847" s="92" t="n"/>
      <c r="O1847" s="92" t="n"/>
      <c r="P1847" s="92" t="n"/>
    </row>
    <row r="1848" ht="32" customHeight="1">
      <c r="A1848" s="91" t="n"/>
      <c r="B1848" s="91" t="n"/>
      <c r="C1848" s="91" t="n"/>
      <c r="D1848" s="91" t="n"/>
      <c r="E1848" s="91" t="n"/>
      <c r="F1848" s="94" t="n"/>
      <c r="G1848" s="94" t="n"/>
      <c r="H1848" s="91" t="n"/>
      <c r="I1848" s="91" t="n"/>
      <c r="J1848" s="91" t="n"/>
      <c r="K1848" s="91" t="n"/>
      <c r="L1848" s="91" t="n"/>
      <c r="M1848" s="95" t="n"/>
      <c r="N1848" s="91" t="n"/>
      <c r="O1848" s="91" t="n"/>
      <c r="P1848" s="91" t="n"/>
    </row>
    <row r="1849" ht="32" customHeight="1">
      <c r="A1849" s="92" t="n"/>
      <c r="B1849" s="92" t="n"/>
      <c r="C1849" s="92" t="n"/>
      <c r="D1849" s="92" t="n"/>
      <c r="E1849" s="92" t="n"/>
      <c r="F1849" s="96" t="n"/>
      <c r="G1849" s="96" t="n"/>
      <c r="H1849" s="92" t="n"/>
      <c r="I1849" s="92" t="n"/>
      <c r="J1849" s="92" t="n"/>
      <c r="K1849" s="92" t="n"/>
      <c r="L1849" s="92" t="n"/>
      <c r="M1849" s="97" t="n"/>
      <c r="N1849" s="92" t="n"/>
      <c r="O1849" s="92" t="n"/>
      <c r="P1849" s="92" t="n"/>
    </row>
    <row r="1850" ht="32" customHeight="1">
      <c r="A1850" s="91" t="n"/>
      <c r="B1850" s="91" t="n"/>
      <c r="C1850" s="91" t="n"/>
      <c r="D1850" s="91" t="n"/>
      <c r="E1850" s="91" t="n"/>
      <c r="F1850" s="94" t="n"/>
      <c r="G1850" s="94" t="n"/>
      <c r="H1850" s="91" t="n"/>
      <c r="I1850" s="91" t="n"/>
      <c r="J1850" s="91" t="n"/>
      <c r="K1850" s="91" t="n"/>
      <c r="L1850" s="91" t="n"/>
      <c r="M1850" s="95" t="n"/>
      <c r="N1850" s="91" t="n"/>
      <c r="O1850" s="91" t="n"/>
      <c r="P1850" s="91" t="n"/>
    </row>
    <row r="1851" ht="32" customHeight="1">
      <c r="A1851" s="92" t="n"/>
      <c r="B1851" s="92" t="n"/>
      <c r="C1851" s="92" t="n"/>
      <c r="D1851" s="92" t="n"/>
      <c r="E1851" s="92" t="n"/>
      <c r="F1851" s="96" t="n"/>
      <c r="G1851" s="96" t="n"/>
      <c r="H1851" s="92" t="n"/>
      <c r="I1851" s="92" t="n"/>
      <c r="J1851" s="92" t="n"/>
      <c r="K1851" s="92" t="n"/>
      <c r="L1851" s="92" t="n"/>
      <c r="M1851" s="97" t="n"/>
      <c r="N1851" s="92" t="n"/>
      <c r="O1851" s="92" t="n"/>
      <c r="P1851" s="92" t="n"/>
    </row>
    <row r="1852" ht="32" customHeight="1">
      <c r="A1852" s="91" t="n"/>
      <c r="B1852" s="91" t="n"/>
      <c r="C1852" s="91" t="n"/>
      <c r="D1852" s="91" t="n"/>
      <c r="E1852" s="91" t="n"/>
      <c r="F1852" s="94" t="n"/>
      <c r="G1852" s="94" t="n"/>
      <c r="H1852" s="91" t="n"/>
      <c r="I1852" s="91" t="n"/>
      <c r="J1852" s="91" t="n"/>
      <c r="K1852" s="91" t="n"/>
      <c r="L1852" s="91" t="n"/>
      <c r="M1852" s="95" t="n"/>
      <c r="N1852" s="91" t="n"/>
      <c r="O1852" s="91" t="n"/>
      <c r="P1852" s="91" t="n"/>
    </row>
    <row r="1853" ht="32" customHeight="1">
      <c r="A1853" s="92" t="n"/>
      <c r="B1853" s="92" t="n"/>
      <c r="C1853" s="92" t="n"/>
      <c r="D1853" s="92" t="n"/>
      <c r="E1853" s="92" t="n"/>
      <c r="F1853" s="96" t="n"/>
      <c r="G1853" s="96" t="n"/>
      <c r="H1853" s="92" t="n"/>
      <c r="I1853" s="92" t="n"/>
      <c r="J1853" s="92" t="n"/>
      <c r="K1853" s="92" t="n"/>
      <c r="L1853" s="92" t="n"/>
      <c r="M1853" s="97" t="n"/>
      <c r="N1853" s="92" t="n"/>
      <c r="O1853" s="92" t="n"/>
      <c r="P1853" s="92" t="n"/>
    </row>
    <row r="1854" ht="32" customHeight="1">
      <c r="A1854" s="91" t="n"/>
      <c r="B1854" s="91" t="n"/>
      <c r="C1854" s="91" t="n"/>
      <c r="D1854" s="91" t="n"/>
      <c r="E1854" s="91" t="n"/>
      <c r="F1854" s="94" t="n"/>
      <c r="G1854" s="94" t="n"/>
      <c r="H1854" s="91" t="n"/>
      <c r="I1854" s="91" t="n"/>
      <c r="J1854" s="91" t="n"/>
      <c r="K1854" s="91" t="n"/>
      <c r="L1854" s="91" t="n"/>
      <c r="M1854" s="95" t="n"/>
      <c r="N1854" s="91" t="n"/>
      <c r="O1854" s="91" t="n"/>
      <c r="P1854" s="91" t="n"/>
    </row>
    <row r="1855" ht="32" customHeight="1">
      <c r="A1855" s="92" t="n"/>
      <c r="B1855" s="92" t="n"/>
      <c r="C1855" s="92" t="n"/>
      <c r="D1855" s="92" t="n"/>
      <c r="E1855" s="92" t="n"/>
      <c r="F1855" s="96" t="n"/>
      <c r="G1855" s="96" t="n"/>
      <c r="H1855" s="92" t="n"/>
      <c r="I1855" s="92" t="n"/>
      <c r="J1855" s="92" t="n"/>
      <c r="K1855" s="92" t="n"/>
      <c r="L1855" s="92" t="n"/>
      <c r="M1855" s="97" t="n"/>
      <c r="N1855" s="92" t="n"/>
      <c r="O1855" s="92" t="n"/>
      <c r="P1855" s="92" t="n"/>
    </row>
    <row r="1856" ht="32" customHeight="1">
      <c r="A1856" s="91" t="n"/>
      <c r="B1856" s="91" t="n"/>
      <c r="C1856" s="91" t="n"/>
      <c r="D1856" s="91" t="n"/>
      <c r="E1856" s="91" t="n"/>
      <c r="F1856" s="94" t="n"/>
      <c r="G1856" s="94" t="n"/>
      <c r="H1856" s="91" t="n"/>
      <c r="I1856" s="91" t="n"/>
      <c r="J1856" s="91" t="n"/>
      <c r="K1856" s="91" t="n"/>
      <c r="L1856" s="91" t="n"/>
      <c r="M1856" s="95" t="n"/>
      <c r="N1856" s="91" t="n"/>
      <c r="O1856" s="91" t="n"/>
      <c r="P1856" s="91" t="n"/>
    </row>
    <row r="1857" ht="32" customHeight="1">
      <c r="A1857" s="92" t="n"/>
      <c r="B1857" s="92" t="n"/>
      <c r="C1857" s="92" t="n"/>
      <c r="D1857" s="92" t="n"/>
      <c r="E1857" s="92" t="n"/>
      <c r="F1857" s="96" t="n"/>
      <c r="G1857" s="96" t="n"/>
      <c r="H1857" s="92" t="n"/>
      <c r="I1857" s="92" t="n"/>
      <c r="J1857" s="92" t="n"/>
      <c r="K1857" s="92" t="n"/>
      <c r="L1857" s="92" t="n"/>
      <c r="M1857" s="97" t="n"/>
      <c r="N1857" s="92" t="n"/>
      <c r="O1857" s="92" t="n"/>
      <c r="P1857" s="92" t="n"/>
    </row>
    <row r="1858" ht="32" customHeight="1">
      <c r="A1858" s="91" t="n"/>
      <c r="B1858" s="91" t="n"/>
      <c r="C1858" s="91" t="n"/>
      <c r="D1858" s="91" t="n"/>
      <c r="E1858" s="91" t="n"/>
      <c r="F1858" s="94" t="n"/>
      <c r="G1858" s="94" t="n"/>
      <c r="H1858" s="91" t="n"/>
      <c r="I1858" s="91" t="n"/>
      <c r="J1858" s="91" t="n"/>
      <c r="K1858" s="91" t="n"/>
      <c r="L1858" s="91" t="n"/>
      <c r="M1858" s="95" t="n"/>
      <c r="N1858" s="91" t="n"/>
      <c r="O1858" s="91" t="n"/>
      <c r="P1858" s="91" t="n"/>
    </row>
    <row r="1859" ht="32" customHeight="1">
      <c r="A1859" s="92" t="n"/>
      <c r="B1859" s="92" t="n"/>
      <c r="C1859" s="92" t="n"/>
      <c r="D1859" s="92" t="n"/>
      <c r="E1859" s="92" t="n"/>
      <c r="F1859" s="96" t="n"/>
      <c r="G1859" s="96" t="n"/>
      <c r="H1859" s="92" t="n"/>
      <c r="I1859" s="92" t="n"/>
      <c r="J1859" s="92" t="n"/>
      <c r="K1859" s="92" t="n"/>
      <c r="L1859" s="92" t="n"/>
      <c r="M1859" s="97" t="n"/>
      <c r="N1859" s="92" t="n"/>
      <c r="O1859" s="92" t="n"/>
      <c r="P1859" s="92" t="n"/>
    </row>
    <row r="1860" ht="32" customHeight="1">
      <c r="A1860" s="91" t="n"/>
      <c r="B1860" s="91" t="n"/>
      <c r="C1860" s="91" t="n"/>
      <c r="D1860" s="91" t="n"/>
      <c r="E1860" s="91" t="n"/>
      <c r="F1860" s="94" t="n"/>
      <c r="G1860" s="94" t="n"/>
      <c r="H1860" s="91" t="n"/>
      <c r="I1860" s="91" t="n"/>
      <c r="J1860" s="91" t="n"/>
      <c r="K1860" s="91" t="n"/>
      <c r="L1860" s="91" t="n"/>
      <c r="M1860" s="95" t="n"/>
      <c r="N1860" s="91" t="n"/>
      <c r="O1860" s="91" t="n"/>
      <c r="P1860" s="91" t="n"/>
    </row>
    <row r="1861" ht="32" customHeight="1">
      <c r="A1861" s="92" t="n"/>
      <c r="B1861" s="92" t="n"/>
      <c r="C1861" s="92" t="n"/>
      <c r="D1861" s="92" t="n"/>
      <c r="E1861" s="92" t="n"/>
      <c r="F1861" s="96" t="n"/>
      <c r="G1861" s="96" t="n"/>
      <c r="H1861" s="92" t="n"/>
      <c r="I1861" s="92" t="n"/>
      <c r="J1861" s="92" t="n"/>
      <c r="K1861" s="92" t="n"/>
      <c r="L1861" s="92" t="n"/>
      <c r="M1861" s="97" t="n"/>
      <c r="N1861" s="92" t="n"/>
      <c r="O1861" s="92" t="n"/>
      <c r="P1861" s="92" t="n"/>
    </row>
    <row r="1862" ht="32" customHeight="1">
      <c r="A1862" s="91" t="n"/>
      <c r="B1862" s="91" t="n"/>
      <c r="C1862" s="91" t="n"/>
      <c r="D1862" s="91" t="n"/>
      <c r="E1862" s="91" t="n"/>
      <c r="F1862" s="94" t="n"/>
      <c r="G1862" s="94" t="n"/>
      <c r="H1862" s="91" t="n"/>
      <c r="I1862" s="91" t="n"/>
      <c r="J1862" s="91" t="n"/>
      <c r="K1862" s="91" t="n"/>
      <c r="L1862" s="91" t="n"/>
      <c r="M1862" s="95" t="n"/>
      <c r="N1862" s="91" t="n"/>
      <c r="O1862" s="91" t="n"/>
      <c r="P1862" s="91" t="n"/>
    </row>
    <row r="1863" ht="32" customHeight="1">
      <c r="A1863" s="92" t="n"/>
      <c r="B1863" s="92" t="n"/>
      <c r="C1863" s="92" t="n"/>
      <c r="D1863" s="92" t="n"/>
      <c r="E1863" s="92" t="n"/>
      <c r="F1863" s="96" t="n"/>
      <c r="G1863" s="96" t="n"/>
      <c r="H1863" s="92" t="n"/>
      <c r="I1863" s="92" t="n"/>
      <c r="J1863" s="92" t="n"/>
      <c r="K1863" s="92" t="n"/>
      <c r="L1863" s="92" t="n"/>
      <c r="M1863" s="97" t="n"/>
      <c r="N1863" s="92" t="n"/>
      <c r="O1863" s="92" t="n"/>
      <c r="P1863" s="92" t="n"/>
    </row>
    <row r="1864" ht="32" customHeight="1">
      <c r="A1864" s="91" t="n"/>
      <c r="B1864" s="91" t="n"/>
      <c r="C1864" s="91" t="n"/>
      <c r="D1864" s="91" t="n"/>
      <c r="E1864" s="91" t="n"/>
      <c r="F1864" s="94" t="n"/>
      <c r="G1864" s="94" t="n"/>
      <c r="H1864" s="91" t="n"/>
      <c r="I1864" s="91" t="n"/>
      <c r="J1864" s="91" t="n"/>
      <c r="K1864" s="91" t="n"/>
      <c r="L1864" s="91" t="n"/>
      <c r="M1864" s="95" t="n"/>
      <c r="N1864" s="91" t="n"/>
      <c r="O1864" s="91" t="n"/>
      <c r="P1864" s="91" t="n"/>
    </row>
    <row r="1865" ht="32" customHeight="1">
      <c r="A1865" s="92" t="n"/>
      <c r="B1865" s="92" t="n"/>
      <c r="C1865" s="92" t="n"/>
      <c r="D1865" s="92" t="n"/>
      <c r="E1865" s="92" t="n"/>
      <c r="F1865" s="96" t="n"/>
      <c r="G1865" s="96" t="n"/>
      <c r="H1865" s="92" t="n"/>
      <c r="I1865" s="92" t="n"/>
      <c r="J1865" s="92" t="n"/>
      <c r="K1865" s="92" t="n"/>
      <c r="L1865" s="92" t="n"/>
      <c r="M1865" s="97" t="n"/>
      <c r="N1865" s="92" t="n"/>
      <c r="O1865" s="92" t="n"/>
      <c r="P1865" s="92" t="n"/>
    </row>
    <row r="1866" ht="32" customHeight="1">
      <c r="A1866" s="91" t="n"/>
      <c r="B1866" s="91" t="n"/>
      <c r="C1866" s="91" t="n"/>
      <c r="D1866" s="91" t="n"/>
      <c r="E1866" s="91" t="n"/>
      <c r="F1866" s="94" t="n"/>
      <c r="G1866" s="94" t="n"/>
      <c r="H1866" s="91" t="n"/>
      <c r="I1866" s="91" t="n"/>
      <c r="J1866" s="91" t="n"/>
      <c r="K1866" s="91" t="n"/>
      <c r="L1866" s="91" t="n"/>
      <c r="M1866" s="95" t="n"/>
      <c r="N1866" s="91" t="n"/>
      <c r="O1866" s="91" t="n"/>
      <c r="P1866" s="91" t="n"/>
    </row>
    <row r="1867" ht="32" customHeight="1">
      <c r="A1867" s="92" t="n"/>
      <c r="B1867" s="92" t="n"/>
      <c r="C1867" s="92" t="n"/>
      <c r="D1867" s="92" t="n"/>
      <c r="E1867" s="92" t="n"/>
      <c r="F1867" s="96" t="n"/>
      <c r="G1867" s="96" t="n"/>
      <c r="H1867" s="92" t="n"/>
      <c r="I1867" s="92" t="n"/>
      <c r="J1867" s="92" t="n"/>
      <c r="K1867" s="92" t="n"/>
      <c r="L1867" s="92" t="n"/>
      <c r="M1867" s="97" t="n"/>
      <c r="N1867" s="92" t="n"/>
      <c r="O1867" s="92" t="n"/>
      <c r="P1867" s="92" t="n"/>
    </row>
    <row r="1868" ht="32" customHeight="1">
      <c r="A1868" s="91" t="n"/>
      <c r="B1868" s="91" t="n"/>
      <c r="C1868" s="91" t="n"/>
      <c r="D1868" s="91" t="n"/>
      <c r="E1868" s="91" t="n"/>
      <c r="F1868" s="94" t="n"/>
      <c r="G1868" s="94" t="n"/>
      <c r="H1868" s="91" t="n"/>
      <c r="I1868" s="91" t="n"/>
      <c r="J1868" s="91" t="n"/>
      <c r="K1868" s="91" t="n"/>
      <c r="L1868" s="91" t="n"/>
      <c r="M1868" s="95" t="n"/>
      <c r="N1868" s="91" t="n"/>
      <c r="O1868" s="91" t="n"/>
      <c r="P1868" s="91" t="n"/>
    </row>
    <row r="1869" ht="32" customHeight="1">
      <c r="A1869" s="92" t="n"/>
      <c r="B1869" s="92" t="n"/>
      <c r="C1869" s="92" t="n"/>
      <c r="D1869" s="92" t="n"/>
      <c r="E1869" s="92" t="n"/>
      <c r="F1869" s="96" t="n"/>
      <c r="G1869" s="96" t="n"/>
      <c r="H1869" s="92" t="n"/>
      <c r="I1869" s="92" t="n"/>
      <c r="J1869" s="92" t="n"/>
      <c r="K1869" s="92" t="n"/>
      <c r="L1869" s="92" t="n"/>
      <c r="M1869" s="97" t="n"/>
      <c r="N1869" s="92" t="n"/>
      <c r="O1869" s="92" t="n"/>
      <c r="P1869" s="92" t="n"/>
    </row>
    <row r="1870" ht="32" customHeight="1">
      <c r="A1870" s="91" t="n"/>
      <c r="B1870" s="91" t="n"/>
      <c r="C1870" s="91" t="n"/>
      <c r="D1870" s="91" t="n"/>
      <c r="E1870" s="91" t="n"/>
      <c r="F1870" s="94" t="n"/>
      <c r="G1870" s="94" t="n"/>
      <c r="H1870" s="91" t="n"/>
      <c r="I1870" s="91" t="n"/>
      <c r="J1870" s="91" t="n"/>
      <c r="K1870" s="91" t="n"/>
      <c r="L1870" s="91" t="n"/>
      <c r="M1870" s="95" t="n"/>
      <c r="N1870" s="91" t="n"/>
      <c r="O1870" s="91" t="n"/>
      <c r="P1870" s="91" t="n"/>
    </row>
    <row r="1871" ht="32" customHeight="1">
      <c r="A1871" s="92" t="n"/>
      <c r="B1871" s="92" t="n"/>
      <c r="C1871" s="92" t="n"/>
      <c r="D1871" s="92" t="n"/>
      <c r="E1871" s="92" t="n"/>
      <c r="F1871" s="96" t="n"/>
      <c r="G1871" s="96" t="n"/>
      <c r="H1871" s="92" t="n"/>
      <c r="I1871" s="92" t="n"/>
      <c r="J1871" s="92" t="n"/>
      <c r="K1871" s="92" t="n"/>
      <c r="L1871" s="92" t="n"/>
      <c r="M1871" s="97" t="n"/>
      <c r="N1871" s="92" t="n"/>
      <c r="O1871" s="92" t="n"/>
      <c r="P1871" s="92" t="n"/>
    </row>
    <row r="1872" ht="32" customHeight="1">
      <c r="A1872" s="91" t="n"/>
      <c r="B1872" s="91" t="n"/>
      <c r="C1872" s="91" t="n"/>
      <c r="D1872" s="91" t="n"/>
      <c r="E1872" s="91" t="n"/>
      <c r="F1872" s="94" t="n"/>
      <c r="G1872" s="94" t="n"/>
      <c r="H1872" s="91" t="n"/>
      <c r="I1872" s="91" t="n"/>
      <c r="J1872" s="91" t="n"/>
      <c r="K1872" s="91" t="n"/>
      <c r="L1872" s="91" t="n"/>
      <c r="M1872" s="95" t="n"/>
      <c r="N1872" s="91" t="n"/>
      <c r="O1872" s="91" t="n"/>
      <c r="P1872" s="91" t="n"/>
    </row>
    <row r="1873" ht="32" customHeight="1">
      <c r="A1873" s="92" t="n"/>
      <c r="B1873" s="92" t="n"/>
      <c r="C1873" s="92" t="n"/>
      <c r="D1873" s="92" t="n"/>
      <c r="E1873" s="92" t="n"/>
      <c r="F1873" s="96" t="n"/>
      <c r="G1873" s="96" t="n"/>
      <c r="H1873" s="92" t="n"/>
      <c r="I1873" s="92" t="n"/>
      <c r="J1873" s="92" t="n"/>
      <c r="K1873" s="92" t="n"/>
      <c r="L1873" s="92" t="n"/>
      <c r="M1873" s="97" t="n"/>
      <c r="N1873" s="92" t="n"/>
      <c r="O1873" s="92" t="n"/>
      <c r="P1873" s="92" t="n"/>
    </row>
    <row r="1874" ht="32" customHeight="1">
      <c r="A1874" s="91" t="n"/>
      <c r="B1874" s="91" t="n"/>
      <c r="C1874" s="91" t="n"/>
      <c r="D1874" s="91" t="n"/>
      <c r="E1874" s="91" t="n"/>
      <c r="F1874" s="94" t="n"/>
      <c r="G1874" s="94" t="n"/>
      <c r="H1874" s="91" t="n"/>
      <c r="I1874" s="91" t="n"/>
      <c r="J1874" s="91" t="n"/>
      <c r="K1874" s="91" t="n"/>
      <c r="L1874" s="91" t="n"/>
      <c r="M1874" s="95" t="n"/>
      <c r="N1874" s="91" t="n"/>
      <c r="O1874" s="91" t="n"/>
      <c r="P1874" s="91" t="n"/>
    </row>
    <row r="1875" ht="32" customHeight="1">
      <c r="A1875" s="92" t="n"/>
      <c r="B1875" s="92" t="n"/>
      <c r="C1875" s="92" t="n"/>
      <c r="D1875" s="92" t="n"/>
      <c r="E1875" s="92" t="n"/>
      <c r="F1875" s="96" t="n"/>
      <c r="G1875" s="96" t="n"/>
      <c r="H1875" s="92" t="n"/>
      <c r="I1875" s="92" t="n"/>
      <c r="J1875" s="92" t="n"/>
      <c r="K1875" s="92" t="n"/>
      <c r="L1875" s="92" t="n"/>
      <c r="M1875" s="97" t="n"/>
      <c r="N1875" s="92" t="n"/>
      <c r="O1875" s="92" t="n"/>
      <c r="P1875" s="92" t="n"/>
    </row>
    <row r="1876" ht="32" customHeight="1">
      <c r="A1876" s="91" t="n"/>
      <c r="B1876" s="91" t="n"/>
      <c r="C1876" s="91" t="n"/>
      <c r="D1876" s="91" t="n"/>
      <c r="E1876" s="91" t="n"/>
      <c r="F1876" s="94" t="n"/>
      <c r="G1876" s="94" t="n"/>
      <c r="H1876" s="91" t="n"/>
      <c r="I1876" s="91" t="n"/>
      <c r="J1876" s="91" t="n"/>
      <c r="K1876" s="91" t="n"/>
      <c r="L1876" s="91" t="n"/>
      <c r="M1876" s="95" t="n"/>
      <c r="N1876" s="91" t="n"/>
      <c r="O1876" s="91" t="n"/>
      <c r="P1876" s="91" t="n"/>
    </row>
    <row r="1877" ht="32" customHeight="1">
      <c r="A1877" s="92" t="n"/>
      <c r="B1877" s="92" t="n"/>
      <c r="C1877" s="92" t="n"/>
      <c r="D1877" s="92" t="n"/>
      <c r="E1877" s="92" t="n"/>
      <c r="F1877" s="96" t="n"/>
      <c r="G1877" s="96" t="n"/>
      <c r="H1877" s="92" t="n"/>
      <c r="I1877" s="92" t="n"/>
      <c r="J1877" s="92" t="n"/>
      <c r="K1877" s="92" t="n"/>
      <c r="L1877" s="92" t="n"/>
      <c r="M1877" s="97" t="n"/>
      <c r="N1877" s="92" t="n"/>
      <c r="O1877" s="92" t="n"/>
      <c r="P1877" s="92" t="n"/>
    </row>
    <row r="1878" ht="32" customHeight="1">
      <c r="A1878" s="91" t="n"/>
      <c r="B1878" s="91" t="n"/>
      <c r="C1878" s="91" t="n"/>
      <c r="D1878" s="91" t="n"/>
      <c r="E1878" s="91" t="n"/>
      <c r="F1878" s="94" t="n"/>
      <c r="G1878" s="94" t="n"/>
      <c r="H1878" s="91" t="n"/>
      <c r="I1878" s="91" t="n"/>
      <c r="J1878" s="91" t="n"/>
      <c r="K1878" s="91" t="n"/>
      <c r="L1878" s="91" t="n"/>
      <c r="M1878" s="95" t="n"/>
      <c r="N1878" s="91" t="n"/>
      <c r="O1878" s="91" t="n"/>
      <c r="P1878" s="91" t="n"/>
    </row>
    <row r="1879" ht="32" customHeight="1">
      <c r="A1879" s="92" t="n"/>
      <c r="B1879" s="92" t="n"/>
      <c r="C1879" s="92" t="n"/>
      <c r="D1879" s="92" t="n"/>
      <c r="E1879" s="92" t="n"/>
      <c r="F1879" s="96" t="n"/>
      <c r="G1879" s="96" t="n"/>
      <c r="H1879" s="92" t="n"/>
      <c r="I1879" s="92" t="n"/>
      <c r="J1879" s="92" t="n"/>
      <c r="K1879" s="92" t="n"/>
      <c r="L1879" s="92" t="n"/>
      <c r="M1879" s="97" t="n"/>
      <c r="N1879" s="92" t="n"/>
      <c r="O1879" s="92" t="n"/>
      <c r="P1879" s="92" t="n"/>
    </row>
    <row r="1880" ht="32" customHeight="1">
      <c r="A1880" s="91" t="n"/>
      <c r="B1880" s="91" t="n"/>
      <c r="C1880" s="91" t="n"/>
      <c r="D1880" s="91" t="n"/>
      <c r="E1880" s="91" t="n"/>
      <c r="F1880" s="94" t="n"/>
      <c r="G1880" s="94" t="n"/>
      <c r="H1880" s="91" t="n"/>
      <c r="I1880" s="91" t="n"/>
      <c r="J1880" s="91" t="n"/>
      <c r="K1880" s="91" t="n"/>
      <c r="L1880" s="91" t="n"/>
      <c r="M1880" s="95" t="n"/>
      <c r="N1880" s="91" t="n"/>
      <c r="O1880" s="91" t="n"/>
      <c r="P1880" s="91" t="n"/>
    </row>
    <row r="1881" ht="32" customHeight="1">
      <c r="A1881" s="92" t="n"/>
      <c r="B1881" s="92" t="n"/>
      <c r="C1881" s="92" t="n"/>
      <c r="D1881" s="92" t="n"/>
      <c r="E1881" s="92" t="n"/>
      <c r="F1881" s="96" t="n"/>
      <c r="G1881" s="96" t="n"/>
      <c r="H1881" s="92" t="n"/>
      <c r="I1881" s="92" t="n"/>
      <c r="J1881" s="92" t="n"/>
      <c r="K1881" s="92" t="n"/>
      <c r="L1881" s="92" t="n"/>
      <c r="M1881" s="97" t="n"/>
      <c r="N1881" s="92" t="n"/>
      <c r="O1881" s="92" t="n"/>
      <c r="P1881" s="92" t="n"/>
    </row>
    <row r="1882" ht="32" customHeight="1">
      <c r="A1882" s="91" t="n"/>
      <c r="B1882" s="91" t="n"/>
      <c r="C1882" s="91" t="n"/>
      <c r="D1882" s="91" t="n"/>
      <c r="E1882" s="91" t="n"/>
      <c r="F1882" s="94" t="n"/>
      <c r="G1882" s="94" t="n"/>
      <c r="H1882" s="91" t="n"/>
      <c r="I1882" s="91" t="n"/>
      <c r="J1882" s="91" t="n"/>
      <c r="K1882" s="91" t="n"/>
      <c r="L1882" s="91" t="n"/>
      <c r="M1882" s="95" t="n"/>
      <c r="N1882" s="91" t="n"/>
      <c r="O1882" s="91" t="n"/>
      <c r="P1882" s="91" t="n"/>
    </row>
    <row r="1883" ht="32" customHeight="1">
      <c r="A1883" s="92" t="n"/>
      <c r="B1883" s="92" t="n"/>
      <c r="C1883" s="92" t="n"/>
      <c r="D1883" s="92" t="n"/>
      <c r="E1883" s="92" t="n"/>
      <c r="F1883" s="96" t="n"/>
      <c r="G1883" s="96" t="n"/>
      <c r="H1883" s="92" t="n"/>
      <c r="I1883" s="92" t="n"/>
      <c r="J1883" s="92" t="n"/>
      <c r="K1883" s="92" t="n"/>
      <c r="L1883" s="92" t="n"/>
      <c r="M1883" s="97" t="n"/>
      <c r="N1883" s="92" t="n"/>
      <c r="O1883" s="92" t="n"/>
      <c r="P1883" s="92" t="n"/>
    </row>
    <row r="1884" ht="32" customHeight="1">
      <c r="A1884" s="91" t="n"/>
      <c r="B1884" s="91" t="n"/>
      <c r="C1884" s="91" t="n"/>
      <c r="D1884" s="91" t="n"/>
      <c r="E1884" s="91" t="n"/>
      <c r="F1884" s="94" t="n"/>
      <c r="G1884" s="94" t="n"/>
      <c r="H1884" s="91" t="n"/>
      <c r="I1884" s="91" t="n"/>
      <c r="J1884" s="91" t="n"/>
      <c r="K1884" s="91" t="n"/>
      <c r="L1884" s="91" t="n"/>
      <c r="M1884" s="95" t="n"/>
      <c r="N1884" s="91" t="n"/>
      <c r="O1884" s="91" t="n"/>
      <c r="P1884" s="91" t="n"/>
    </row>
    <row r="1885" ht="32" customHeight="1">
      <c r="A1885" s="92" t="n"/>
      <c r="B1885" s="92" t="n"/>
      <c r="C1885" s="92" t="n"/>
      <c r="D1885" s="92" t="n"/>
      <c r="E1885" s="92" t="n"/>
      <c r="F1885" s="96" t="n"/>
      <c r="G1885" s="96" t="n"/>
      <c r="H1885" s="92" t="n"/>
      <c r="I1885" s="92" t="n"/>
      <c r="J1885" s="92" t="n"/>
      <c r="K1885" s="92" t="n"/>
      <c r="L1885" s="92" t="n"/>
      <c r="M1885" s="97" t="n"/>
      <c r="N1885" s="92" t="n"/>
      <c r="O1885" s="92" t="n"/>
      <c r="P1885" s="92" t="n"/>
    </row>
    <row r="1886" ht="32" customHeight="1">
      <c r="A1886" s="91" t="n"/>
      <c r="B1886" s="91" t="n"/>
      <c r="C1886" s="91" t="n"/>
      <c r="D1886" s="91" t="n"/>
      <c r="E1886" s="91" t="n"/>
      <c r="F1886" s="94" t="n"/>
      <c r="G1886" s="94" t="n"/>
      <c r="H1886" s="91" t="n"/>
      <c r="I1886" s="91" t="n"/>
      <c r="J1886" s="91" t="n"/>
      <c r="K1886" s="91" t="n"/>
      <c r="L1886" s="91" t="n"/>
      <c r="M1886" s="95" t="n"/>
      <c r="N1886" s="91" t="n"/>
      <c r="O1886" s="91" t="n"/>
      <c r="P1886" s="91" t="n"/>
    </row>
    <row r="1887" ht="32" customHeight="1">
      <c r="A1887" s="92" t="n"/>
      <c r="B1887" s="92" t="n"/>
      <c r="C1887" s="92" t="n"/>
      <c r="D1887" s="92" t="n"/>
      <c r="E1887" s="92" t="n"/>
      <c r="F1887" s="96" t="n"/>
      <c r="G1887" s="96" t="n"/>
      <c r="H1887" s="92" t="n"/>
      <c r="I1887" s="92" t="n"/>
      <c r="J1887" s="92" t="n"/>
      <c r="K1887" s="92" t="n"/>
      <c r="L1887" s="92" t="n"/>
      <c r="M1887" s="97" t="n"/>
      <c r="N1887" s="92" t="n"/>
      <c r="O1887" s="92" t="n"/>
      <c r="P1887" s="92" t="n"/>
    </row>
    <row r="1888" ht="32" customHeight="1">
      <c r="A1888" s="91" t="n"/>
      <c r="B1888" s="91" t="n"/>
      <c r="C1888" s="91" t="n"/>
      <c r="D1888" s="91" t="n"/>
      <c r="E1888" s="91" t="n"/>
      <c r="F1888" s="94" t="n"/>
      <c r="G1888" s="94" t="n"/>
      <c r="H1888" s="91" t="n"/>
      <c r="I1888" s="91" t="n"/>
      <c r="J1888" s="91" t="n"/>
      <c r="K1888" s="91" t="n"/>
      <c r="L1888" s="91" t="n"/>
      <c r="M1888" s="95" t="n"/>
      <c r="N1888" s="91" t="n"/>
      <c r="O1888" s="91" t="n"/>
      <c r="P1888" s="91" t="n"/>
    </row>
    <row r="1889" ht="32" customHeight="1">
      <c r="A1889" s="92" t="n"/>
      <c r="B1889" s="92" t="n"/>
      <c r="C1889" s="92" t="n"/>
      <c r="D1889" s="92" t="n"/>
      <c r="E1889" s="92" t="n"/>
      <c r="F1889" s="96" t="n"/>
      <c r="G1889" s="96" t="n"/>
      <c r="H1889" s="92" t="n"/>
      <c r="I1889" s="92" t="n"/>
      <c r="J1889" s="92" t="n"/>
      <c r="K1889" s="92" t="n"/>
      <c r="L1889" s="92" t="n"/>
      <c r="M1889" s="97" t="n"/>
      <c r="N1889" s="92" t="n"/>
      <c r="O1889" s="92" t="n"/>
      <c r="P1889" s="92" t="n"/>
    </row>
    <row r="1890" ht="32" customHeight="1">
      <c r="A1890" s="91" t="n"/>
      <c r="B1890" s="91" t="n"/>
      <c r="C1890" s="91" t="n"/>
      <c r="D1890" s="91" t="n"/>
      <c r="E1890" s="91" t="n"/>
      <c r="F1890" s="94" t="n"/>
      <c r="G1890" s="94" t="n"/>
      <c r="H1890" s="91" t="n"/>
      <c r="I1890" s="91" t="n"/>
      <c r="J1890" s="91" t="n"/>
      <c r="K1890" s="91" t="n"/>
      <c r="L1890" s="91" t="n"/>
      <c r="M1890" s="95" t="n"/>
      <c r="N1890" s="91" t="n"/>
      <c r="O1890" s="91" t="n"/>
      <c r="P1890" s="91" t="n"/>
    </row>
    <row r="1891" ht="32" customHeight="1">
      <c r="A1891" s="92" t="n"/>
      <c r="B1891" s="92" t="n"/>
      <c r="C1891" s="92" t="n"/>
      <c r="D1891" s="92" t="n"/>
      <c r="E1891" s="92" t="n"/>
      <c r="F1891" s="96" t="n"/>
      <c r="G1891" s="96" t="n"/>
      <c r="H1891" s="92" t="n"/>
      <c r="I1891" s="92" t="n"/>
      <c r="J1891" s="92" t="n"/>
      <c r="K1891" s="92" t="n"/>
      <c r="L1891" s="92" t="n"/>
      <c r="M1891" s="97" t="n"/>
      <c r="N1891" s="92" t="n"/>
      <c r="O1891" s="92" t="n"/>
      <c r="P1891" s="92" t="n"/>
    </row>
    <row r="1892" ht="32" customHeight="1">
      <c r="A1892" s="91" t="n"/>
      <c r="B1892" s="91" t="n"/>
      <c r="C1892" s="91" t="n"/>
      <c r="D1892" s="91" t="n"/>
      <c r="E1892" s="91" t="n"/>
      <c r="F1892" s="94" t="n"/>
      <c r="G1892" s="94" t="n"/>
      <c r="H1892" s="91" t="n"/>
      <c r="I1892" s="91" t="n"/>
      <c r="J1892" s="91" t="n"/>
      <c r="K1892" s="91" t="n"/>
      <c r="L1892" s="91" t="n"/>
      <c r="M1892" s="95" t="n"/>
      <c r="N1892" s="91" t="n"/>
      <c r="O1892" s="91" t="n"/>
      <c r="P1892" s="91" t="n"/>
    </row>
    <row r="1893" ht="32" customHeight="1">
      <c r="A1893" s="92" t="n"/>
      <c r="B1893" s="92" t="n"/>
      <c r="C1893" s="92" t="n"/>
      <c r="D1893" s="92" t="n"/>
      <c r="E1893" s="92" t="n"/>
      <c r="F1893" s="96" t="n"/>
      <c r="G1893" s="96" t="n"/>
      <c r="H1893" s="92" t="n"/>
      <c r="I1893" s="92" t="n"/>
      <c r="J1893" s="92" t="n"/>
      <c r="K1893" s="92" t="n"/>
      <c r="L1893" s="92" t="n"/>
      <c r="M1893" s="97" t="n"/>
      <c r="N1893" s="92" t="n"/>
      <c r="O1893" s="92" t="n"/>
      <c r="P1893" s="92" t="n"/>
    </row>
    <row r="1894" ht="32" customHeight="1">
      <c r="A1894" s="91" t="n"/>
      <c r="B1894" s="91" t="n"/>
      <c r="C1894" s="91" t="n"/>
      <c r="D1894" s="91" t="n"/>
      <c r="E1894" s="91" t="n"/>
      <c r="F1894" s="94" t="n"/>
      <c r="G1894" s="94" t="n"/>
      <c r="H1894" s="91" t="n"/>
      <c r="I1894" s="91" t="n"/>
      <c r="J1894" s="91" t="n"/>
      <c r="K1894" s="91" t="n"/>
      <c r="L1894" s="91" t="n"/>
      <c r="M1894" s="95" t="n"/>
      <c r="N1894" s="91" t="n"/>
      <c r="O1894" s="91" t="n"/>
      <c r="P1894" s="91" t="n"/>
    </row>
    <row r="1895" ht="32" customHeight="1">
      <c r="A1895" s="92" t="n"/>
      <c r="B1895" s="92" t="n"/>
      <c r="C1895" s="92" t="n"/>
      <c r="D1895" s="92" t="n"/>
      <c r="E1895" s="92" t="n"/>
      <c r="F1895" s="96" t="n"/>
      <c r="G1895" s="96" t="n"/>
      <c r="H1895" s="92" t="n"/>
      <c r="I1895" s="92" t="n"/>
      <c r="J1895" s="92" t="n"/>
      <c r="K1895" s="92" t="n"/>
      <c r="L1895" s="92" t="n"/>
      <c r="M1895" s="97" t="n"/>
      <c r="N1895" s="92" t="n"/>
      <c r="O1895" s="92" t="n"/>
      <c r="P1895" s="92" t="n"/>
    </row>
    <row r="1896" ht="32" customHeight="1">
      <c r="A1896" s="91" t="n"/>
      <c r="B1896" s="91" t="n"/>
      <c r="C1896" s="91" t="n"/>
      <c r="D1896" s="91" t="n"/>
      <c r="E1896" s="91" t="n"/>
      <c r="F1896" s="94" t="n"/>
      <c r="G1896" s="94" t="n"/>
      <c r="H1896" s="91" t="n"/>
      <c r="I1896" s="91" t="n"/>
      <c r="J1896" s="91" t="n"/>
      <c r="K1896" s="91" t="n"/>
      <c r="L1896" s="91" t="n"/>
      <c r="M1896" s="95" t="n"/>
      <c r="N1896" s="91" t="n"/>
      <c r="O1896" s="91" t="n"/>
      <c r="P1896" s="91" t="n"/>
    </row>
    <row r="1897" ht="32" customHeight="1">
      <c r="A1897" s="92" t="n"/>
      <c r="B1897" s="92" t="n"/>
      <c r="C1897" s="92" t="n"/>
      <c r="D1897" s="92" t="n"/>
      <c r="E1897" s="92" t="n"/>
      <c r="F1897" s="96" t="n"/>
      <c r="G1897" s="96" t="n"/>
      <c r="H1897" s="92" t="n"/>
      <c r="I1897" s="92" t="n"/>
      <c r="J1897" s="92" t="n"/>
      <c r="K1897" s="92" t="n"/>
      <c r="L1897" s="92" t="n"/>
      <c r="M1897" s="97" t="n"/>
      <c r="N1897" s="92" t="n"/>
      <c r="O1897" s="92" t="n"/>
      <c r="P1897" s="92" t="n"/>
    </row>
    <row r="1898" ht="32" customHeight="1">
      <c r="A1898" s="91" t="n"/>
      <c r="B1898" s="91" t="n"/>
      <c r="C1898" s="91" t="n"/>
      <c r="D1898" s="91" t="n"/>
      <c r="E1898" s="91" t="n"/>
      <c r="F1898" s="94" t="n"/>
      <c r="G1898" s="94" t="n"/>
      <c r="H1898" s="91" t="n"/>
      <c r="I1898" s="91" t="n"/>
      <c r="J1898" s="91" t="n"/>
      <c r="K1898" s="91" t="n"/>
      <c r="L1898" s="91" t="n"/>
      <c r="M1898" s="95" t="n"/>
      <c r="N1898" s="91" t="n"/>
      <c r="O1898" s="91" t="n"/>
      <c r="P1898" s="91" t="n"/>
    </row>
    <row r="1899" ht="32" customHeight="1">
      <c r="A1899" s="92" t="n"/>
      <c r="B1899" s="92" t="n"/>
      <c r="C1899" s="92" t="n"/>
      <c r="D1899" s="92" t="n"/>
      <c r="E1899" s="92" t="n"/>
      <c r="F1899" s="96" t="n"/>
      <c r="G1899" s="96" t="n"/>
      <c r="H1899" s="92" t="n"/>
      <c r="I1899" s="92" t="n"/>
      <c r="J1899" s="92" t="n"/>
      <c r="K1899" s="92" t="n"/>
      <c r="L1899" s="92" t="n"/>
      <c r="M1899" s="97" t="n"/>
      <c r="N1899" s="92" t="n"/>
      <c r="O1899" s="92" t="n"/>
      <c r="P1899" s="92" t="n"/>
    </row>
    <row r="1900" ht="32" customHeight="1">
      <c r="A1900" s="91" t="n"/>
      <c r="B1900" s="91" t="n"/>
      <c r="C1900" s="91" t="n"/>
      <c r="D1900" s="91" t="n"/>
      <c r="E1900" s="91" t="n"/>
      <c r="F1900" s="94" t="n"/>
      <c r="G1900" s="94" t="n"/>
      <c r="H1900" s="91" t="n"/>
      <c r="I1900" s="91" t="n"/>
      <c r="J1900" s="91" t="n"/>
      <c r="K1900" s="91" t="n"/>
      <c r="L1900" s="91" t="n"/>
      <c r="M1900" s="95" t="n"/>
      <c r="N1900" s="91" t="n"/>
      <c r="O1900" s="91" t="n"/>
      <c r="P1900" s="91" t="n"/>
    </row>
    <row r="1901" ht="32" customHeight="1">
      <c r="A1901" s="92" t="n"/>
      <c r="B1901" s="92" t="n"/>
      <c r="C1901" s="92" t="n"/>
      <c r="D1901" s="92" t="n"/>
      <c r="E1901" s="92" t="n"/>
      <c r="F1901" s="96" t="n"/>
      <c r="G1901" s="96" t="n"/>
      <c r="H1901" s="92" t="n"/>
      <c r="I1901" s="92" t="n"/>
      <c r="J1901" s="92" t="n"/>
      <c r="K1901" s="92" t="n"/>
      <c r="L1901" s="92" t="n"/>
      <c r="M1901" s="97" t="n"/>
      <c r="N1901" s="92" t="n"/>
      <c r="O1901" s="92" t="n"/>
      <c r="P1901" s="92" t="n"/>
    </row>
    <row r="1902" ht="32" customHeight="1">
      <c r="A1902" s="91" t="n"/>
      <c r="B1902" s="91" t="n"/>
      <c r="C1902" s="91" t="n"/>
      <c r="D1902" s="91" t="n"/>
      <c r="E1902" s="91" t="n"/>
      <c r="F1902" s="94" t="n"/>
      <c r="G1902" s="94" t="n"/>
      <c r="H1902" s="91" t="n"/>
      <c r="I1902" s="91" t="n"/>
      <c r="J1902" s="91" t="n"/>
      <c r="K1902" s="91" t="n"/>
      <c r="L1902" s="91" t="n"/>
      <c r="M1902" s="95" t="n"/>
      <c r="N1902" s="91" t="n"/>
      <c r="O1902" s="91" t="n"/>
      <c r="P1902" s="91" t="n"/>
    </row>
    <row r="1903" ht="32" customHeight="1">
      <c r="A1903" s="92" t="n"/>
      <c r="B1903" s="92" t="n"/>
      <c r="C1903" s="92" t="n"/>
      <c r="D1903" s="92" t="n"/>
      <c r="E1903" s="92" t="n"/>
      <c r="F1903" s="96" t="n"/>
      <c r="G1903" s="96" t="n"/>
      <c r="H1903" s="92" t="n"/>
      <c r="I1903" s="92" t="n"/>
      <c r="J1903" s="92" t="n"/>
      <c r="K1903" s="92" t="n"/>
      <c r="L1903" s="92" t="n"/>
      <c r="M1903" s="97" t="n"/>
      <c r="N1903" s="92" t="n"/>
      <c r="O1903" s="92" t="n"/>
      <c r="P1903" s="92" t="n"/>
    </row>
    <row r="1904" ht="32" customHeight="1">
      <c r="A1904" s="91" t="n"/>
      <c r="B1904" s="91" t="n"/>
      <c r="C1904" s="91" t="n"/>
      <c r="D1904" s="91" t="n"/>
      <c r="E1904" s="91" t="n"/>
      <c r="F1904" s="94" t="n"/>
      <c r="G1904" s="94" t="n"/>
      <c r="H1904" s="91" t="n"/>
      <c r="I1904" s="91" t="n"/>
      <c r="J1904" s="91" t="n"/>
      <c r="K1904" s="91" t="n"/>
      <c r="L1904" s="91" t="n"/>
      <c r="M1904" s="95" t="n"/>
      <c r="N1904" s="91" t="n"/>
      <c r="O1904" s="91" t="n"/>
      <c r="P1904" s="91" t="n"/>
    </row>
    <row r="1905" ht="32" customHeight="1">
      <c r="A1905" s="92" t="n"/>
      <c r="B1905" s="92" t="n"/>
      <c r="C1905" s="92" t="n"/>
      <c r="D1905" s="92" t="n"/>
      <c r="E1905" s="92" t="n"/>
      <c r="F1905" s="96" t="n"/>
      <c r="G1905" s="96" t="n"/>
      <c r="H1905" s="92" t="n"/>
      <c r="I1905" s="92" t="n"/>
      <c r="J1905" s="92" t="n"/>
      <c r="K1905" s="92" t="n"/>
      <c r="L1905" s="92" t="n"/>
      <c r="M1905" s="97" t="n"/>
      <c r="N1905" s="92" t="n"/>
      <c r="O1905" s="92" t="n"/>
      <c r="P1905" s="92" t="n"/>
    </row>
    <row r="1906" ht="32" customHeight="1">
      <c r="A1906" s="91" t="n"/>
      <c r="B1906" s="91" t="n"/>
      <c r="C1906" s="91" t="n"/>
      <c r="D1906" s="91" t="n"/>
      <c r="E1906" s="91" t="n"/>
      <c r="F1906" s="94" t="n"/>
      <c r="G1906" s="94" t="n"/>
      <c r="H1906" s="91" t="n"/>
      <c r="I1906" s="91" t="n"/>
      <c r="J1906" s="91" t="n"/>
      <c r="K1906" s="91" t="n"/>
      <c r="L1906" s="91" t="n"/>
      <c r="M1906" s="95" t="n"/>
      <c r="N1906" s="91" t="n"/>
      <c r="O1906" s="91" t="n"/>
      <c r="P1906" s="91" t="n"/>
    </row>
    <row r="1907" ht="32" customHeight="1">
      <c r="A1907" s="92" t="n"/>
      <c r="B1907" s="92" t="n"/>
      <c r="C1907" s="92" t="n"/>
      <c r="D1907" s="92" t="n"/>
      <c r="E1907" s="92" t="n"/>
      <c r="F1907" s="96" t="n"/>
      <c r="G1907" s="96" t="n"/>
      <c r="H1907" s="92" t="n"/>
      <c r="I1907" s="92" t="n"/>
      <c r="J1907" s="92" t="n"/>
      <c r="K1907" s="92" t="n"/>
      <c r="L1907" s="92" t="n"/>
      <c r="M1907" s="97" t="n"/>
      <c r="N1907" s="92" t="n"/>
      <c r="O1907" s="92" t="n"/>
      <c r="P1907" s="92" t="n"/>
    </row>
    <row r="1908" ht="32" customHeight="1">
      <c r="A1908" s="91" t="n"/>
      <c r="B1908" s="91" t="n"/>
      <c r="C1908" s="91" t="n"/>
      <c r="D1908" s="91" t="n"/>
      <c r="E1908" s="91" t="n"/>
      <c r="F1908" s="94" t="n"/>
      <c r="G1908" s="94" t="n"/>
      <c r="H1908" s="91" t="n"/>
      <c r="I1908" s="91" t="n"/>
      <c r="J1908" s="91" t="n"/>
      <c r="K1908" s="91" t="n"/>
      <c r="L1908" s="91" t="n"/>
      <c r="M1908" s="95" t="n"/>
      <c r="N1908" s="91" t="n"/>
      <c r="O1908" s="91" t="n"/>
      <c r="P1908" s="91" t="n"/>
    </row>
    <row r="1909" ht="32" customHeight="1">
      <c r="A1909" s="92" t="n"/>
      <c r="B1909" s="92" t="n"/>
      <c r="C1909" s="92" t="n"/>
      <c r="D1909" s="92" t="n"/>
      <c r="E1909" s="92" t="n"/>
      <c r="F1909" s="96" t="n"/>
      <c r="G1909" s="96" t="n"/>
      <c r="H1909" s="92" t="n"/>
      <c r="I1909" s="92" t="n"/>
      <c r="J1909" s="92" t="n"/>
      <c r="K1909" s="92" t="n"/>
      <c r="L1909" s="92" t="n"/>
      <c r="M1909" s="97" t="n"/>
      <c r="N1909" s="92" t="n"/>
      <c r="O1909" s="92" t="n"/>
      <c r="P1909" s="92" t="n"/>
    </row>
    <row r="1910" ht="32" customHeight="1">
      <c r="A1910" s="91" t="n"/>
      <c r="B1910" s="91" t="n"/>
      <c r="C1910" s="91" t="n"/>
      <c r="D1910" s="91" t="n"/>
      <c r="E1910" s="91" t="n"/>
      <c r="F1910" s="94" t="n"/>
      <c r="G1910" s="94" t="n"/>
      <c r="H1910" s="91" t="n"/>
      <c r="I1910" s="91" t="n"/>
      <c r="J1910" s="91" t="n"/>
      <c r="K1910" s="91" t="n"/>
      <c r="L1910" s="91" t="n"/>
      <c r="M1910" s="95" t="n"/>
      <c r="N1910" s="91" t="n"/>
      <c r="O1910" s="91" t="n"/>
      <c r="P1910" s="91" t="n"/>
    </row>
    <row r="1911" ht="32" customHeight="1">
      <c r="A1911" s="92" t="n"/>
      <c r="B1911" s="92" t="n"/>
      <c r="C1911" s="92" t="n"/>
      <c r="D1911" s="92" t="n"/>
      <c r="E1911" s="92" t="n"/>
      <c r="F1911" s="96" t="n"/>
      <c r="G1911" s="96" t="n"/>
      <c r="H1911" s="92" t="n"/>
      <c r="I1911" s="92" t="n"/>
      <c r="J1911" s="92" t="n"/>
      <c r="K1911" s="92" t="n"/>
      <c r="L1911" s="92" t="n"/>
      <c r="M1911" s="97" t="n"/>
      <c r="N1911" s="92" t="n"/>
      <c r="O1911" s="92" t="n"/>
      <c r="P1911" s="92" t="n"/>
    </row>
    <row r="1912" ht="32" customHeight="1">
      <c r="A1912" s="91" t="n"/>
      <c r="B1912" s="91" t="n"/>
      <c r="C1912" s="91" t="n"/>
      <c r="D1912" s="91" t="n"/>
      <c r="E1912" s="91" t="n"/>
      <c r="F1912" s="94" t="n"/>
      <c r="G1912" s="94" t="n"/>
      <c r="H1912" s="91" t="n"/>
      <c r="I1912" s="91" t="n"/>
      <c r="J1912" s="91" t="n"/>
      <c r="K1912" s="91" t="n"/>
      <c r="L1912" s="91" t="n"/>
      <c r="M1912" s="95" t="n"/>
      <c r="N1912" s="91" t="n"/>
      <c r="O1912" s="91" t="n"/>
      <c r="P1912" s="91" t="n"/>
    </row>
    <row r="1913" ht="32" customHeight="1">
      <c r="A1913" s="92" t="n"/>
      <c r="B1913" s="92" t="n"/>
      <c r="C1913" s="92" t="n"/>
      <c r="D1913" s="92" t="n"/>
      <c r="E1913" s="92" t="n"/>
      <c r="F1913" s="96" t="n"/>
      <c r="G1913" s="96" t="n"/>
      <c r="H1913" s="92" t="n"/>
      <c r="I1913" s="92" t="n"/>
      <c r="J1913" s="92" t="n"/>
      <c r="K1913" s="92" t="n"/>
      <c r="L1913" s="92" t="n"/>
      <c r="M1913" s="97" t="n"/>
      <c r="N1913" s="92" t="n"/>
      <c r="O1913" s="92" t="n"/>
      <c r="P1913" s="92" t="n"/>
    </row>
    <row r="1914" ht="32" customHeight="1">
      <c r="A1914" s="91" t="n"/>
      <c r="B1914" s="91" t="n"/>
      <c r="C1914" s="91" t="n"/>
      <c r="D1914" s="91" t="n"/>
      <c r="E1914" s="91" t="n"/>
      <c r="F1914" s="94" t="n"/>
      <c r="G1914" s="94" t="n"/>
      <c r="H1914" s="91" t="n"/>
      <c r="I1914" s="91" t="n"/>
      <c r="J1914" s="91" t="n"/>
      <c r="K1914" s="91" t="n"/>
      <c r="L1914" s="91" t="n"/>
      <c r="M1914" s="95" t="n"/>
      <c r="N1914" s="91" t="n"/>
      <c r="O1914" s="91" t="n"/>
      <c r="P1914" s="91" t="n"/>
    </row>
    <row r="1915" ht="32" customHeight="1">
      <c r="A1915" s="92" t="n"/>
      <c r="B1915" s="92" t="n"/>
      <c r="C1915" s="92" t="n"/>
      <c r="D1915" s="92" t="n"/>
      <c r="E1915" s="92" t="n"/>
      <c r="F1915" s="96" t="n"/>
      <c r="G1915" s="96" t="n"/>
      <c r="H1915" s="92" t="n"/>
      <c r="I1915" s="92" t="n"/>
      <c r="J1915" s="92" t="n"/>
      <c r="K1915" s="92" t="n"/>
      <c r="L1915" s="92" t="n"/>
      <c r="M1915" s="97" t="n"/>
      <c r="N1915" s="92" t="n"/>
      <c r="O1915" s="92" t="n"/>
      <c r="P1915" s="92" t="n"/>
    </row>
    <row r="1916" ht="32" customHeight="1">
      <c r="A1916" s="91" t="n"/>
      <c r="B1916" s="91" t="n"/>
      <c r="C1916" s="91" t="n"/>
      <c r="D1916" s="91" t="n"/>
      <c r="E1916" s="91" t="n"/>
      <c r="F1916" s="94" t="n"/>
      <c r="G1916" s="94" t="n"/>
      <c r="H1916" s="91" t="n"/>
      <c r="I1916" s="91" t="n"/>
      <c r="J1916" s="91" t="n"/>
      <c r="K1916" s="91" t="n"/>
      <c r="L1916" s="91" t="n"/>
      <c r="M1916" s="95" t="n"/>
      <c r="N1916" s="91" t="n"/>
      <c r="O1916" s="91" t="n"/>
      <c r="P1916" s="91" t="n"/>
    </row>
    <row r="1917" ht="32" customHeight="1">
      <c r="A1917" s="92" t="n"/>
      <c r="B1917" s="92" t="n"/>
      <c r="C1917" s="92" t="n"/>
      <c r="D1917" s="92" t="n"/>
      <c r="E1917" s="92" t="n"/>
      <c r="F1917" s="96" t="n"/>
      <c r="G1917" s="96" t="n"/>
      <c r="H1917" s="92" t="n"/>
      <c r="I1917" s="92" t="n"/>
      <c r="J1917" s="92" t="n"/>
      <c r="K1917" s="92" t="n"/>
      <c r="L1917" s="92" t="n"/>
      <c r="M1917" s="97" t="n"/>
      <c r="N1917" s="92" t="n"/>
      <c r="O1917" s="92" t="n"/>
      <c r="P1917" s="92" t="n"/>
    </row>
    <row r="1918" ht="32" customHeight="1">
      <c r="A1918" s="91" t="n"/>
      <c r="B1918" s="91" t="n"/>
      <c r="C1918" s="91" t="n"/>
      <c r="D1918" s="91" t="n"/>
      <c r="E1918" s="91" t="n"/>
      <c r="F1918" s="94" t="n"/>
      <c r="G1918" s="94" t="n"/>
      <c r="H1918" s="91" t="n"/>
      <c r="I1918" s="91" t="n"/>
      <c r="J1918" s="91" t="n"/>
      <c r="K1918" s="91" t="n"/>
      <c r="L1918" s="91" t="n"/>
      <c r="M1918" s="95" t="n"/>
      <c r="N1918" s="91" t="n"/>
      <c r="O1918" s="91" t="n"/>
      <c r="P1918" s="91" t="n"/>
    </row>
    <row r="1919" ht="32" customHeight="1">
      <c r="A1919" s="92" t="n"/>
      <c r="B1919" s="92" t="n"/>
      <c r="C1919" s="92" t="n"/>
      <c r="D1919" s="92" t="n"/>
      <c r="E1919" s="92" t="n"/>
      <c r="F1919" s="96" t="n"/>
      <c r="G1919" s="96" t="n"/>
      <c r="H1919" s="92" t="n"/>
      <c r="I1919" s="92" t="n"/>
      <c r="J1919" s="92" t="n"/>
      <c r="K1919" s="92" t="n"/>
      <c r="L1919" s="92" t="n"/>
      <c r="M1919" s="97" t="n"/>
      <c r="N1919" s="92" t="n"/>
      <c r="O1919" s="92" t="n"/>
      <c r="P1919" s="92" t="n"/>
    </row>
    <row r="1920" ht="32" customHeight="1">
      <c r="A1920" s="91" t="n"/>
      <c r="B1920" s="91" t="n"/>
      <c r="C1920" s="91" t="n"/>
      <c r="D1920" s="91" t="n"/>
      <c r="E1920" s="91" t="n"/>
      <c r="F1920" s="94" t="n"/>
      <c r="G1920" s="94" t="n"/>
      <c r="H1920" s="91" t="n"/>
      <c r="I1920" s="91" t="n"/>
      <c r="J1920" s="91" t="n"/>
      <c r="K1920" s="91" t="n"/>
      <c r="L1920" s="91" t="n"/>
      <c r="M1920" s="95" t="n"/>
      <c r="N1920" s="91" t="n"/>
      <c r="O1920" s="91" t="n"/>
      <c r="P1920" s="91" t="n"/>
    </row>
    <row r="1921" ht="32" customHeight="1">
      <c r="A1921" s="92" t="n"/>
      <c r="B1921" s="92" t="n"/>
      <c r="C1921" s="92" t="n"/>
      <c r="D1921" s="92" t="n"/>
      <c r="E1921" s="92" t="n"/>
      <c r="F1921" s="96" t="n"/>
      <c r="G1921" s="96" t="n"/>
      <c r="H1921" s="92" t="n"/>
      <c r="I1921" s="92" t="n"/>
      <c r="J1921" s="92" t="n"/>
      <c r="K1921" s="92" t="n"/>
      <c r="L1921" s="92" t="n"/>
      <c r="M1921" s="97" t="n"/>
      <c r="N1921" s="92" t="n"/>
      <c r="O1921" s="92" t="n"/>
      <c r="P1921" s="92" t="n"/>
    </row>
    <row r="1922" ht="32" customHeight="1">
      <c r="A1922" s="91" t="n"/>
      <c r="B1922" s="91" t="n"/>
      <c r="C1922" s="91" t="n"/>
      <c r="D1922" s="91" t="n"/>
      <c r="E1922" s="91" t="n"/>
      <c r="F1922" s="94" t="n"/>
      <c r="G1922" s="94" t="n"/>
      <c r="H1922" s="91" t="n"/>
      <c r="I1922" s="91" t="n"/>
      <c r="J1922" s="91" t="n"/>
      <c r="K1922" s="91" t="n"/>
      <c r="L1922" s="91" t="n"/>
      <c r="M1922" s="95" t="n"/>
      <c r="N1922" s="91" t="n"/>
      <c r="O1922" s="91" t="n"/>
      <c r="P1922" s="91" t="n"/>
    </row>
    <row r="1923" ht="32" customHeight="1">
      <c r="A1923" s="92" t="n"/>
      <c r="B1923" s="92" t="n"/>
      <c r="C1923" s="92" t="n"/>
      <c r="D1923" s="92" t="n"/>
      <c r="E1923" s="92" t="n"/>
      <c r="F1923" s="96" t="n"/>
      <c r="G1923" s="96" t="n"/>
      <c r="H1923" s="92" t="n"/>
      <c r="I1923" s="92" t="n"/>
      <c r="J1923" s="92" t="n"/>
      <c r="K1923" s="92" t="n"/>
      <c r="L1923" s="92" t="n"/>
      <c r="M1923" s="97" t="n"/>
      <c r="N1923" s="92" t="n"/>
      <c r="O1923" s="92" t="n"/>
      <c r="P1923" s="92" t="n"/>
    </row>
    <row r="1924" ht="32" customHeight="1">
      <c r="A1924" s="91" t="n"/>
      <c r="B1924" s="91" t="n"/>
      <c r="C1924" s="91" t="n"/>
      <c r="D1924" s="91" t="n"/>
      <c r="E1924" s="91" t="n"/>
      <c r="F1924" s="94" t="n"/>
      <c r="G1924" s="94" t="n"/>
      <c r="H1924" s="91" t="n"/>
      <c r="I1924" s="91" t="n"/>
      <c r="J1924" s="91" t="n"/>
      <c r="K1924" s="91" t="n"/>
      <c r="L1924" s="91" t="n"/>
      <c r="M1924" s="95" t="n"/>
      <c r="N1924" s="91" t="n"/>
      <c r="O1924" s="91" t="n"/>
      <c r="P1924" s="91" t="n"/>
    </row>
    <row r="1925" ht="32" customHeight="1">
      <c r="A1925" s="92" t="n"/>
      <c r="B1925" s="92" t="n"/>
      <c r="C1925" s="92" t="n"/>
      <c r="D1925" s="92" t="n"/>
      <c r="E1925" s="92" t="n"/>
      <c r="F1925" s="96" t="n"/>
      <c r="G1925" s="96" t="n"/>
      <c r="H1925" s="92" t="n"/>
      <c r="I1925" s="92" t="n"/>
      <c r="J1925" s="92" t="n"/>
      <c r="K1925" s="92" t="n"/>
      <c r="L1925" s="92" t="n"/>
      <c r="M1925" s="97" t="n"/>
      <c r="N1925" s="92" t="n"/>
      <c r="O1925" s="92" t="n"/>
      <c r="P1925" s="92" t="n"/>
    </row>
    <row r="1926" ht="32" customHeight="1">
      <c r="A1926" s="91" t="n"/>
      <c r="B1926" s="91" t="n"/>
      <c r="C1926" s="91" t="n"/>
      <c r="D1926" s="91" t="n"/>
      <c r="E1926" s="91" t="n"/>
      <c r="F1926" s="94" t="n"/>
      <c r="G1926" s="94" t="n"/>
      <c r="H1926" s="91" t="n"/>
      <c r="I1926" s="91" t="n"/>
      <c r="J1926" s="91" t="n"/>
      <c r="K1926" s="91" t="n"/>
      <c r="L1926" s="91" t="n"/>
      <c r="M1926" s="95" t="n"/>
      <c r="N1926" s="91" t="n"/>
      <c r="O1926" s="91" t="n"/>
      <c r="P1926" s="91" t="n"/>
    </row>
    <row r="1927" ht="32" customHeight="1">
      <c r="A1927" s="92" t="n"/>
      <c r="B1927" s="92" t="n"/>
      <c r="C1927" s="92" t="n"/>
      <c r="D1927" s="92" t="n"/>
      <c r="E1927" s="92" t="n"/>
      <c r="F1927" s="96" t="n"/>
      <c r="G1927" s="96" t="n"/>
      <c r="H1927" s="92" t="n"/>
      <c r="I1927" s="92" t="n"/>
      <c r="J1927" s="92" t="n"/>
      <c r="K1927" s="92" t="n"/>
      <c r="L1927" s="92" t="n"/>
      <c r="M1927" s="97" t="n"/>
      <c r="N1927" s="92" t="n"/>
      <c r="O1927" s="92" t="n"/>
      <c r="P1927" s="92" t="n"/>
    </row>
    <row r="1928" ht="32" customHeight="1">
      <c r="A1928" s="91" t="n"/>
      <c r="B1928" s="91" t="n"/>
      <c r="C1928" s="91" t="n"/>
      <c r="D1928" s="91" t="n"/>
      <c r="E1928" s="91" t="n"/>
      <c r="F1928" s="94" t="n"/>
      <c r="G1928" s="94" t="n"/>
      <c r="H1928" s="91" t="n"/>
      <c r="I1928" s="91" t="n"/>
      <c r="J1928" s="91" t="n"/>
      <c r="K1928" s="91" t="n"/>
      <c r="L1928" s="91" t="n"/>
      <c r="M1928" s="95" t="n"/>
      <c r="N1928" s="91" t="n"/>
      <c r="O1928" s="91" t="n"/>
      <c r="P1928" s="91" t="n"/>
    </row>
    <row r="1929" ht="32" customHeight="1">
      <c r="A1929" s="92" t="n"/>
      <c r="B1929" s="92" t="n"/>
      <c r="C1929" s="92" t="n"/>
      <c r="D1929" s="92" t="n"/>
      <c r="E1929" s="92" t="n"/>
      <c r="F1929" s="96" t="n"/>
      <c r="G1929" s="96" t="n"/>
      <c r="H1929" s="92" t="n"/>
      <c r="I1929" s="92" t="n"/>
      <c r="J1929" s="92" t="n"/>
      <c r="K1929" s="92" t="n"/>
      <c r="L1929" s="92" t="n"/>
      <c r="M1929" s="97" t="n"/>
      <c r="N1929" s="92" t="n"/>
      <c r="O1929" s="92" t="n"/>
      <c r="P1929" s="92" t="n"/>
    </row>
    <row r="1930" ht="32" customHeight="1">
      <c r="A1930" s="91" t="n"/>
      <c r="B1930" s="91" t="n"/>
      <c r="C1930" s="91" t="n"/>
      <c r="D1930" s="91" t="n"/>
      <c r="E1930" s="91" t="n"/>
      <c r="F1930" s="94" t="n"/>
      <c r="G1930" s="94" t="n"/>
      <c r="H1930" s="91" t="n"/>
      <c r="I1930" s="91" t="n"/>
      <c r="J1930" s="91" t="n"/>
      <c r="K1930" s="91" t="n"/>
      <c r="L1930" s="91" t="n"/>
      <c r="M1930" s="95" t="n"/>
      <c r="N1930" s="91" t="n"/>
      <c r="O1930" s="91" t="n"/>
      <c r="P1930" s="91" t="n"/>
    </row>
    <row r="1931" ht="32" customHeight="1">
      <c r="A1931" s="92" t="n"/>
      <c r="B1931" s="92" t="n"/>
      <c r="C1931" s="92" t="n"/>
      <c r="D1931" s="92" t="n"/>
      <c r="E1931" s="92" t="n"/>
      <c r="F1931" s="96" t="n"/>
      <c r="G1931" s="96" t="n"/>
      <c r="H1931" s="92" t="n"/>
      <c r="I1931" s="92" t="n"/>
      <c r="J1931" s="92" t="n"/>
      <c r="K1931" s="92" t="n"/>
      <c r="L1931" s="92" t="n"/>
      <c r="M1931" s="97" t="n"/>
      <c r="N1931" s="92" t="n"/>
      <c r="O1931" s="92" t="n"/>
      <c r="P1931" s="92" t="n"/>
    </row>
    <row r="1932" ht="32" customHeight="1">
      <c r="A1932" s="91" t="n"/>
      <c r="B1932" s="91" t="n"/>
      <c r="C1932" s="91" t="n"/>
      <c r="D1932" s="91" t="n"/>
      <c r="E1932" s="91" t="n"/>
      <c r="F1932" s="94" t="n"/>
      <c r="G1932" s="94" t="n"/>
      <c r="H1932" s="91" t="n"/>
      <c r="I1932" s="91" t="n"/>
      <c r="J1932" s="91" t="n"/>
      <c r="K1932" s="91" t="n"/>
      <c r="L1932" s="91" t="n"/>
      <c r="M1932" s="95" t="n"/>
      <c r="N1932" s="91" t="n"/>
      <c r="O1932" s="91" t="n"/>
      <c r="P1932" s="91" t="n"/>
    </row>
    <row r="1933" ht="32" customHeight="1">
      <c r="A1933" s="92" t="n"/>
      <c r="B1933" s="92" t="n"/>
      <c r="C1933" s="92" t="n"/>
      <c r="D1933" s="92" t="n"/>
      <c r="E1933" s="92" t="n"/>
      <c r="F1933" s="96" t="n"/>
      <c r="G1933" s="96" t="n"/>
      <c r="H1933" s="92" t="n"/>
      <c r="I1933" s="92" t="n"/>
      <c r="J1933" s="92" t="n"/>
      <c r="K1933" s="92" t="n"/>
      <c r="L1933" s="92" t="n"/>
      <c r="M1933" s="97" t="n"/>
      <c r="N1933" s="92" t="n"/>
      <c r="O1933" s="92" t="n"/>
      <c r="P1933" s="92" t="n"/>
    </row>
    <row r="1934" ht="32" customHeight="1">
      <c r="A1934" s="91" t="n"/>
      <c r="B1934" s="91" t="n"/>
      <c r="C1934" s="91" t="n"/>
      <c r="D1934" s="91" t="n"/>
      <c r="E1934" s="91" t="n"/>
      <c r="F1934" s="94" t="n"/>
      <c r="G1934" s="94" t="n"/>
      <c r="H1934" s="91" t="n"/>
      <c r="I1934" s="91" t="n"/>
      <c r="J1934" s="91" t="n"/>
      <c r="K1934" s="91" t="n"/>
      <c r="L1934" s="91" t="n"/>
      <c r="M1934" s="95" t="n"/>
      <c r="N1934" s="91" t="n"/>
      <c r="O1934" s="91" t="n"/>
      <c r="P1934" s="91" t="n"/>
    </row>
    <row r="1935" ht="32" customHeight="1">
      <c r="A1935" s="92" t="n"/>
      <c r="B1935" s="92" t="n"/>
      <c r="C1935" s="92" t="n"/>
      <c r="D1935" s="92" t="n"/>
      <c r="E1935" s="92" t="n"/>
      <c r="F1935" s="96" t="n"/>
      <c r="G1935" s="96" t="n"/>
      <c r="H1935" s="92" t="n"/>
      <c r="I1935" s="92" t="n"/>
      <c r="J1935" s="92" t="n"/>
      <c r="K1935" s="92" t="n"/>
      <c r="L1935" s="92" t="n"/>
      <c r="M1935" s="97" t="n"/>
      <c r="N1935" s="92" t="n"/>
      <c r="O1935" s="92" t="n"/>
      <c r="P1935" s="92" t="n"/>
    </row>
    <row r="1936" ht="32" customHeight="1">
      <c r="A1936" s="91" t="n"/>
      <c r="B1936" s="91" t="n"/>
      <c r="C1936" s="91" t="n"/>
      <c r="D1936" s="91" t="n"/>
      <c r="E1936" s="91" t="n"/>
      <c r="F1936" s="94" t="n"/>
      <c r="G1936" s="94" t="n"/>
      <c r="H1936" s="91" t="n"/>
      <c r="I1936" s="91" t="n"/>
      <c r="J1936" s="91" t="n"/>
      <c r="K1936" s="91" t="n"/>
      <c r="L1936" s="91" t="n"/>
      <c r="M1936" s="95" t="n"/>
      <c r="N1936" s="91" t="n"/>
      <c r="O1936" s="91" t="n"/>
      <c r="P1936" s="91" t="n"/>
    </row>
    <row r="1937" ht="32" customHeight="1">
      <c r="A1937" s="92" t="n"/>
      <c r="B1937" s="92" t="n"/>
      <c r="C1937" s="92" t="n"/>
      <c r="D1937" s="92" t="n"/>
      <c r="E1937" s="92" t="n"/>
      <c r="F1937" s="96" t="n"/>
      <c r="G1937" s="96" t="n"/>
      <c r="H1937" s="92" t="n"/>
      <c r="I1937" s="92" t="n"/>
      <c r="J1937" s="92" t="n"/>
      <c r="K1937" s="92" t="n"/>
      <c r="L1937" s="92" t="n"/>
      <c r="M1937" s="97" t="n"/>
      <c r="N1937" s="92" t="n"/>
      <c r="O1937" s="92" t="n"/>
      <c r="P1937" s="92" t="n"/>
    </row>
    <row r="1938" ht="32" customHeight="1">
      <c r="A1938" s="91" t="n"/>
      <c r="B1938" s="91" t="n"/>
      <c r="C1938" s="91" t="n"/>
      <c r="D1938" s="91" t="n"/>
      <c r="E1938" s="91" t="n"/>
      <c r="F1938" s="94" t="n"/>
      <c r="G1938" s="94" t="n"/>
      <c r="H1938" s="91" t="n"/>
      <c r="I1938" s="91" t="n"/>
      <c r="J1938" s="91" t="n"/>
      <c r="K1938" s="91" t="n"/>
      <c r="L1938" s="91" t="n"/>
      <c r="M1938" s="95" t="n"/>
      <c r="N1938" s="91" t="n"/>
      <c r="O1938" s="91" t="n"/>
      <c r="P1938" s="91" t="n"/>
    </row>
    <row r="1939" ht="32" customHeight="1">
      <c r="A1939" s="92" t="n"/>
      <c r="B1939" s="92" t="n"/>
      <c r="C1939" s="92" t="n"/>
      <c r="D1939" s="92" t="n"/>
      <c r="E1939" s="92" t="n"/>
      <c r="F1939" s="96" t="n"/>
      <c r="G1939" s="96" t="n"/>
      <c r="H1939" s="92" t="n"/>
      <c r="I1939" s="92" t="n"/>
      <c r="J1939" s="92" t="n"/>
      <c r="K1939" s="92" t="n"/>
      <c r="L1939" s="92" t="n"/>
      <c r="M1939" s="97" t="n"/>
      <c r="N1939" s="92" t="n"/>
      <c r="O1939" s="92" t="n"/>
      <c r="P1939" s="92" t="n"/>
    </row>
    <row r="1940" ht="32" customHeight="1">
      <c r="A1940" s="91" t="n"/>
      <c r="B1940" s="91" t="n"/>
      <c r="C1940" s="91" t="n"/>
      <c r="D1940" s="91" t="n"/>
      <c r="E1940" s="91" t="n"/>
      <c r="F1940" s="94" t="n"/>
      <c r="G1940" s="94" t="n"/>
      <c r="H1940" s="91" t="n"/>
      <c r="I1940" s="91" t="n"/>
      <c r="J1940" s="91" t="n"/>
      <c r="K1940" s="91" t="n"/>
      <c r="L1940" s="91" t="n"/>
      <c r="M1940" s="95" t="n"/>
      <c r="N1940" s="91" t="n"/>
      <c r="O1940" s="91" t="n"/>
      <c r="P1940" s="91" t="n"/>
    </row>
    <row r="1941" ht="32" customHeight="1">
      <c r="A1941" s="92" t="n"/>
      <c r="B1941" s="92" t="n"/>
      <c r="C1941" s="92" t="n"/>
      <c r="D1941" s="92" t="n"/>
      <c r="E1941" s="92" t="n"/>
      <c r="F1941" s="96" t="n"/>
      <c r="G1941" s="96" t="n"/>
      <c r="H1941" s="92" t="n"/>
      <c r="I1941" s="92" t="n"/>
      <c r="J1941" s="92" t="n"/>
      <c r="K1941" s="92" t="n"/>
      <c r="L1941" s="92" t="n"/>
      <c r="M1941" s="97" t="n"/>
      <c r="N1941" s="92" t="n"/>
      <c r="O1941" s="92" t="n"/>
      <c r="P1941" s="92" t="n"/>
    </row>
    <row r="1942" ht="32" customHeight="1">
      <c r="A1942" s="91" t="n"/>
      <c r="B1942" s="91" t="n"/>
      <c r="C1942" s="91" t="n"/>
      <c r="D1942" s="91" t="n"/>
      <c r="E1942" s="91" t="n"/>
      <c r="F1942" s="94" t="n"/>
      <c r="G1942" s="94" t="n"/>
      <c r="H1942" s="91" t="n"/>
      <c r="I1942" s="91" t="n"/>
      <c r="J1942" s="91" t="n"/>
      <c r="K1942" s="91" t="n"/>
      <c r="L1942" s="91" t="n"/>
      <c r="M1942" s="95" t="n"/>
      <c r="N1942" s="91" t="n"/>
      <c r="O1942" s="91" t="n"/>
      <c r="P1942" s="91" t="n"/>
    </row>
    <row r="1943" ht="32" customHeight="1">
      <c r="A1943" s="92" t="n"/>
      <c r="B1943" s="92" t="n"/>
      <c r="C1943" s="92" t="n"/>
      <c r="D1943" s="92" t="n"/>
      <c r="E1943" s="92" t="n"/>
      <c r="F1943" s="96" t="n"/>
      <c r="G1943" s="96" t="n"/>
      <c r="H1943" s="92" t="n"/>
      <c r="I1943" s="92" t="n"/>
      <c r="J1943" s="92" t="n"/>
      <c r="K1943" s="92" t="n"/>
      <c r="L1943" s="92" t="n"/>
      <c r="M1943" s="97" t="n"/>
      <c r="N1943" s="92" t="n"/>
      <c r="O1943" s="92" t="n"/>
      <c r="P1943" s="92" t="n"/>
    </row>
    <row r="1944" ht="32" customHeight="1">
      <c r="A1944" s="91" t="n"/>
      <c r="B1944" s="91" t="n"/>
      <c r="C1944" s="91" t="n"/>
      <c r="D1944" s="91" t="n"/>
      <c r="E1944" s="91" t="n"/>
      <c r="F1944" s="94" t="n"/>
      <c r="G1944" s="94" t="n"/>
      <c r="H1944" s="91" t="n"/>
      <c r="I1944" s="91" t="n"/>
      <c r="J1944" s="91" t="n"/>
      <c r="K1944" s="91" t="n"/>
      <c r="L1944" s="91" t="n"/>
      <c r="M1944" s="95" t="n"/>
      <c r="N1944" s="91" t="n"/>
      <c r="O1944" s="91" t="n"/>
      <c r="P1944" s="91" t="n"/>
    </row>
    <row r="1945" ht="32" customHeight="1">
      <c r="A1945" s="92" t="n"/>
      <c r="B1945" s="92" t="n"/>
      <c r="C1945" s="92" t="n"/>
      <c r="D1945" s="92" t="n"/>
      <c r="E1945" s="92" t="n"/>
      <c r="F1945" s="96" t="n"/>
      <c r="G1945" s="96" t="n"/>
      <c r="H1945" s="92" t="n"/>
      <c r="I1945" s="92" t="n"/>
      <c r="J1945" s="92" t="n"/>
      <c r="K1945" s="92" t="n"/>
      <c r="L1945" s="92" t="n"/>
      <c r="M1945" s="97" t="n"/>
      <c r="N1945" s="92" t="n"/>
      <c r="O1945" s="92" t="n"/>
      <c r="P1945" s="92" t="n"/>
    </row>
    <row r="1946" ht="32" customHeight="1">
      <c r="A1946" s="91" t="n"/>
      <c r="B1946" s="91" t="n"/>
      <c r="C1946" s="91" t="n"/>
      <c r="D1946" s="91" t="n"/>
      <c r="E1946" s="91" t="n"/>
      <c r="F1946" s="94" t="n"/>
      <c r="G1946" s="94" t="n"/>
      <c r="H1946" s="91" t="n"/>
      <c r="I1946" s="91" t="n"/>
      <c r="J1946" s="91" t="n"/>
      <c r="K1946" s="91" t="n"/>
      <c r="L1946" s="91" t="n"/>
      <c r="M1946" s="95" t="n"/>
      <c r="N1946" s="91" t="n"/>
      <c r="O1946" s="91" t="n"/>
      <c r="P1946" s="91" t="n"/>
    </row>
    <row r="1947" ht="32" customHeight="1">
      <c r="A1947" s="92" t="n"/>
      <c r="B1947" s="92" t="n"/>
      <c r="C1947" s="92" t="n"/>
      <c r="D1947" s="92" t="n"/>
      <c r="E1947" s="92" t="n"/>
      <c r="F1947" s="96" t="n"/>
      <c r="G1947" s="96" t="n"/>
      <c r="H1947" s="92" t="n"/>
      <c r="I1947" s="92" t="n"/>
      <c r="J1947" s="92" t="n"/>
      <c r="K1947" s="92" t="n"/>
      <c r="L1947" s="92" t="n"/>
      <c r="M1947" s="97" t="n"/>
      <c r="N1947" s="92" t="n"/>
      <c r="O1947" s="92" t="n"/>
      <c r="P1947" s="92" t="n"/>
    </row>
    <row r="1948" ht="32" customHeight="1">
      <c r="A1948" s="91" t="n"/>
      <c r="B1948" s="91" t="n"/>
      <c r="C1948" s="91" t="n"/>
      <c r="D1948" s="91" t="n"/>
      <c r="E1948" s="91" t="n"/>
      <c r="F1948" s="94" t="n"/>
      <c r="G1948" s="94" t="n"/>
      <c r="H1948" s="91" t="n"/>
      <c r="I1948" s="91" t="n"/>
      <c r="J1948" s="91" t="n"/>
      <c r="K1948" s="91" t="n"/>
      <c r="L1948" s="91" t="n"/>
      <c r="M1948" s="95" t="n"/>
      <c r="N1948" s="91" t="n"/>
      <c r="O1948" s="91" t="n"/>
      <c r="P1948" s="91" t="n"/>
    </row>
    <row r="1949" ht="32" customHeight="1">
      <c r="A1949" s="92" t="n"/>
      <c r="B1949" s="92" t="n"/>
      <c r="C1949" s="92" t="n"/>
      <c r="D1949" s="92" t="n"/>
      <c r="E1949" s="92" t="n"/>
      <c r="F1949" s="96" t="n"/>
      <c r="G1949" s="96" t="n"/>
      <c r="H1949" s="92" t="n"/>
      <c r="I1949" s="92" t="n"/>
      <c r="J1949" s="92" t="n"/>
      <c r="K1949" s="92" t="n"/>
      <c r="L1949" s="92" t="n"/>
      <c r="M1949" s="97" t="n"/>
      <c r="N1949" s="92" t="n"/>
      <c r="O1949" s="92" t="n"/>
      <c r="P1949" s="92" t="n"/>
    </row>
    <row r="1950" ht="32" customHeight="1">
      <c r="A1950" s="91" t="n"/>
      <c r="B1950" s="91" t="n"/>
      <c r="C1950" s="91" t="n"/>
      <c r="D1950" s="91" t="n"/>
      <c r="E1950" s="91" t="n"/>
      <c r="F1950" s="94" t="n"/>
      <c r="G1950" s="94" t="n"/>
      <c r="H1950" s="91" t="n"/>
      <c r="I1950" s="91" t="n"/>
      <c r="J1950" s="91" t="n"/>
      <c r="K1950" s="91" t="n"/>
      <c r="L1950" s="91" t="n"/>
      <c r="M1950" s="95" t="n"/>
      <c r="N1950" s="91" t="n"/>
      <c r="O1950" s="91" t="n"/>
      <c r="P1950" s="91" t="n"/>
    </row>
    <row r="1951" ht="32" customHeight="1">
      <c r="A1951" s="92" t="n"/>
      <c r="B1951" s="92" t="n"/>
      <c r="C1951" s="92" t="n"/>
      <c r="D1951" s="92" t="n"/>
      <c r="E1951" s="92" t="n"/>
      <c r="F1951" s="96" t="n"/>
      <c r="G1951" s="96" t="n"/>
      <c r="H1951" s="92" t="n"/>
      <c r="I1951" s="92" t="n"/>
      <c r="J1951" s="92" t="n"/>
      <c r="K1951" s="92" t="n"/>
      <c r="L1951" s="92" t="n"/>
      <c r="M1951" s="97" t="n"/>
      <c r="N1951" s="92" t="n"/>
      <c r="O1951" s="92" t="n"/>
      <c r="P1951" s="92" t="n"/>
    </row>
    <row r="1952" ht="32" customHeight="1">
      <c r="A1952" s="91" t="n"/>
      <c r="B1952" s="91" t="n"/>
      <c r="C1952" s="91" t="n"/>
      <c r="D1952" s="91" t="n"/>
      <c r="E1952" s="91" t="n"/>
      <c r="F1952" s="94" t="n"/>
      <c r="G1952" s="94" t="n"/>
      <c r="H1952" s="91" t="n"/>
      <c r="I1952" s="91" t="n"/>
      <c r="J1952" s="91" t="n"/>
      <c r="K1952" s="91" t="n"/>
      <c r="L1952" s="91" t="n"/>
      <c r="M1952" s="95" t="n"/>
      <c r="N1952" s="91" t="n"/>
      <c r="O1952" s="91" t="n"/>
      <c r="P1952" s="91" t="n"/>
    </row>
    <row r="1953" ht="32" customHeight="1">
      <c r="A1953" s="92" t="n"/>
      <c r="B1953" s="92" t="n"/>
      <c r="C1953" s="92" t="n"/>
      <c r="D1953" s="92" t="n"/>
      <c r="E1953" s="92" t="n"/>
      <c r="F1953" s="96" t="n"/>
      <c r="G1953" s="96" t="n"/>
      <c r="H1953" s="92" t="n"/>
      <c r="I1953" s="92" t="n"/>
      <c r="J1953" s="92" t="n"/>
      <c r="K1953" s="92" t="n"/>
      <c r="L1953" s="92" t="n"/>
      <c r="M1953" s="97" t="n"/>
      <c r="N1953" s="92" t="n"/>
      <c r="O1953" s="92" t="n"/>
      <c r="P1953" s="92" t="n"/>
    </row>
    <row r="1954" ht="32" customHeight="1">
      <c r="A1954" s="91" t="n"/>
      <c r="B1954" s="91" t="n"/>
      <c r="C1954" s="91" t="n"/>
      <c r="D1954" s="91" t="n"/>
      <c r="E1954" s="91" t="n"/>
      <c r="F1954" s="94" t="n"/>
      <c r="G1954" s="94" t="n"/>
      <c r="H1954" s="91" t="n"/>
      <c r="I1954" s="91" t="n"/>
      <c r="J1954" s="91" t="n"/>
      <c r="K1954" s="91" t="n"/>
      <c r="L1954" s="91" t="n"/>
      <c r="M1954" s="95" t="n"/>
      <c r="N1954" s="91" t="n"/>
      <c r="O1954" s="91" t="n"/>
      <c r="P1954" s="91" t="n"/>
    </row>
    <row r="1955" ht="32" customHeight="1">
      <c r="A1955" s="92" t="n"/>
      <c r="B1955" s="92" t="n"/>
      <c r="C1955" s="92" t="n"/>
      <c r="D1955" s="92" t="n"/>
      <c r="E1955" s="92" t="n"/>
      <c r="F1955" s="96" t="n"/>
      <c r="G1955" s="96" t="n"/>
      <c r="H1955" s="92" t="n"/>
      <c r="I1955" s="92" t="n"/>
      <c r="J1955" s="92" t="n"/>
      <c r="K1955" s="92" t="n"/>
      <c r="L1955" s="92" t="n"/>
      <c r="M1955" s="97" t="n"/>
      <c r="N1955" s="92" t="n"/>
      <c r="O1955" s="92" t="n"/>
      <c r="P1955" s="92" t="n"/>
    </row>
    <row r="1956" ht="32" customHeight="1">
      <c r="A1956" s="91" t="n"/>
      <c r="B1956" s="91" t="n"/>
      <c r="C1956" s="91" t="n"/>
      <c r="D1956" s="91" t="n"/>
      <c r="E1956" s="91" t="n"/>
      <c r="F1956" s="94" t="n"/>
      <c r="G1956" s="94" t="n"/>
      <c r="H1956" s="91" t="n"/>
      <c r="I1956" s="91" t="n"/>
      <c r="J1956" s="91" t="n"/>
      <c r="K1956" s="91" t="n"/>
      <c r="L1956" s="91" t="n"/>
      <c r="M1956" s="95" t="n"/>
      <c r="N1956" s="91" t="n"/>
      <c r="O1956" s="91" t="n"/>
      <c r="P1956" s="91" t="n"/>
    </row>
    <row r="1957" ht="32" customHeight="1">
      <c r="A1957" s="92" t="n"/>
      <c r="B1957" s="92" t="n"/>
      <c r="C1957" s="92" t="n"/>
      <c r="D1957" s="92" t="n"/>
      <c r="E1957" s="92" t="n"/>
      <c r="F1957" s="96" t="n"/>
      <c r="G1957" s="96" t="n"/>
      <c r="H1957" s="92" t="n"/>
      <c r="I1957" s="92" t="n"/>
      <c r="J1957" s="92" t="n"/>
      <c r="K1957" s="92" t="n"/>
      <c r="L1957" s="92" t="n"/>
      <c r="M1957" s="97" t="n"/>
      <c r="N1957" s="92" t="n"/>
      <c r="O1957" s="92" t="n"/>
      <c r="P1957" s="92" t="n"/>
    </row>
    <row r="1958" ht="32" customHeight="1">
      <c r="A1958" s="91" t="n"/>
      <c r="B1958" s="91" t="n"/>
      <c r="C1958" s="91" t="n"/>
      <c r="D1958" s="91" t="n"/>
      <c r="E1958" s="91" t="n"/>
      <c r="F1958" s="94" t="n"/>
      <c r="G1958" s="94" t="n"/>
      <c r="H1958" s="91" t="n"/>
      <c r="I1958" s="91" t="n"/>
      <c r="J1958" s="91" t="n"/>
      <c r="K1958" s="91" t="n"/>
      <c r="L1958" s="91" t="n"/>
      <c r="M1958" s="95" t="n"/>
      <c r="N1958" s="91" t="n"/>
      <c r="O1958" s="91" t="n"/>
      <c r="P1958" s="91" t="n"/>
    </row>
    <row r="1959" ht="32" customHeight="1">
      <c r="A1959" s="92" t="n"/>
      <c r="B1959" s="92" t="n"/>
      <c r="C1959" s="92" t="n"/>
      <c r="D1959" s="92" t="n"/>
      <c r="E1959" s="92" t="n"/>
      <c r="F1959" s="96" t="n"/>
      <c r="G1959" s="96" t="n"/>
      <c r="H1959" s="92" t="n"/>
      <c r="I1959" s="92" t="n"/>
      <c r="J1959" s="92" t="n"/>
      <c r="K1959" s="92" t="n"/>
      <c r="L1959" s="92" t="n"/>
      <c r="M1959" s="97" t="n"/>
      <c r="N1959" s="92" t="n"/>
      <c r="O1959" s="92" t="n"/>
      <c r="P1959" s="92" t="n"/>
    </row>
    <row r="1960" ht="32" customHeight="1">
      <c r="A1960" s="91" t="n"/>
      <c r="B1960" s="91" t="n"/>
      <c r="C1960" s="91" t="n"/>
      <c r="D1960" s="91" t="n"/>
      <c r="E1960" s="91" t="n"/>
      <c r="F1960" s="94" t="n"/>
      <c r="G1960" s="94" t="n"/>
      <c r="H1960" s="91" t="n"/>
      <c r="I1960" s="91" t="n"/>
      <c r="J1960" s="91" t="n"/>
      <c r="K1960" s="91" t="n"/>
      <c r="L1960" s="91" t="n"/>
      <c r="M1960" s="95" t="n"/>
      <c r="N1960" s="91" t="n"/>
      <c r="O1960" s="91" t="n"/>
      <c r="P1960" s="91" t="n"/>
    </row>
    <row r="1961" ht="32" customHeight="1">
      <c r="A1961" s="92" t="n"/>
      <c r="B1961" s="92" t="n"/>
      <c r="C1961" s="92" t="n"/>
      <c r="D1961" s="92" t="n"/>
      <c r="E1961" s="92" t="n"/>
      <c r="F1961" s="96" t="n"/>
      <c r="G1961" s="96" t="n"/>
      <c r="H1961" s="92" t="n"/>
      <c r="I1961" s="92" t="n"/>
      <c r="J1961" s="92" t="n"/>
      <c r="K1961" s="92" t="n"/>
      <c r="L1961" s="92" t="n"/>
      <c r="M1961" s="97" t="n"/>
      <c r="N1961" s="92" t="n"/>
      <c r="O1961" s="92" t="n"/>
      <c r="P1961" s="92" t="n"/>
    </row>
    <row r="1962" ht="32" customHeight="1">
      <c r="A1962" s="91" t="n"/>
      <c r="B1962" s="91" t="n"/>
      <c r="C1962" s="91" t="n"/>
      <c r="D1962" s="91" t="n"/>
      <c r="E1962" s="91" t="n"/>
      <c r="F1962" s="94" t="n"/>
      <c r="G1962" s="94" t="n"/>
      <c r="H1962" s="91" t="n"/>
      <c r="I1962" s="91" t="n"/>
      <c r="J1962" s="91" t="n"/>
      <c r="K1962" s="91" t="n"/>
      <c r="L1962" s="91" t="n"/>
      <c r="M1962" s="95" t="n"/>
      <c r="N1962" s="91" t="n"/>
      <c r="O1962" s="91" t="n"/>
      <c r="P1962" s="91" t="n"/>
    </row>
    <row r="1963" ht="32" customHeight="1">
      <c r="A1963" s="92" t="n"/>
      <c r="B1963" s="92" t="n"/>
      <c r="C1963" s="92" t="n"/>
      <c r="D1963" s="92" t="n"/>
      <c r="E1963" s="92" t="n"/>
      <c r="F1963" s="96" t="n"/>
      <c r="G1963" s="96" t="n"/>
      <c r="H1963" s="92" t="n"/>
      <c r="I1963" s="92" t="n"/>
      <c r="J1963" s="92" t="n"/>
      <c r="K1963" s="92" t="n"/>
      <c r="L1963" s="92" t="n"/>
      <c r="M1963" s="97" t="n"/>
      <c r="N1963" s="92" t="n"/>
      <c r="O1963" s="92" t="n"/>
      <c r="P1963" s="92" t="n"/>
    </row>
    <row r="1964" ht="32" customHeight="1">
      <c r="A1964" s="91" t="n"/>
      <c r="B1964" s="91" t="n"/>
      <c r="C1964" s="91" t="n"/>
      <c r="D1964" s="91" t="n"/>
      <c r="E1964" s="91" t="n"/>
      <c r="F1964" s="94" t="n"/>
      <c r="G1964" s="94" t="n"/>
      <c r="H1964" s="91" t="n"/>
      <c r="I1964" s="91" t="n"/>
      <c r="J1964" s="91" t="n"/>
      <c r="K1964" s="91" t="n"/>
      <c r="L1964" s="91" t="n"/>
      <c r="M1964" s="95" t="n"/>
      <c r="N1964" s="91" t="n"/>
      <c r="O1964" s="91" t="n"/>
      <c r="P1964" s="91" t="n"/>
    </row>
    <row r="1965" ht="32" customHeight="1">
      <c r="A1965" s="92" t="n"/>
      <c r="B1965" s="92" t="n"/>
      <c r="C1965" s="92" t="n"/>
      <c r="D1965" s="92" t="n"/>
      <c r="E1965" s="92" t="n"/>
      <c r="F1965" s="96" t="n"/>
      <c r="G1965" s="96" t="n"/>
      <c r="H1965" s="92" t="n"/>
      <c r="I1965" s="92" t="n"/>
      <c r="J1965" s="92" t="n"/>
      <c r="K1965" s="92" t="n"/>
      <c r="L1965" s="92" t="n"/>
      <c r="M1965" s="97" t="n"/>
      <c r="N1965" s="92" t="n"/>
      <c r="O1965" s="92" t="n"/>
      <c r="P1965" s="92" t="n"/>
    </row>
    <row r="1966" ht="32" customHeight="1">
      <c r="A1966" s="91" t="n"/>
      <c r="B1966" s="91" t="n"/>
      <c r="C1966" s="91" t="n"/>
      <c r="D1966" s="91" t="n"/>
      <c r="E1966" s="91" t="n"/>
      <c r="F1966" s="94" t="n"/>
      <c r="G1966" s="94" t="n"/>
      <c r="H1966" s="91" t="n"/>
      <c r="I1966" s="91" t="n"/>
      <c r="J1966" s="91" t="n"/>
      <c r="K1966" s="91" t="n"/>
      <c r="L1966" s="91" t="n"/>
      <c r="M1966" s="95" t="n"/>
      <c r="N1966" s="91" t="n"/>
      <c r="O1966" s="91" t="n"/>
      <c r="P1966" s="91" t="n"/>
    </row>
    <row r="1967" ht="32" customHeight="1">
      <c r="A1967" s="92" t="n"/>
      <c r="B1967" s="92" t="n"/>
      <c r="C1967" s="92" t="n"/>
      <c r="D1967" s="92" t="n"/>
      <c r="E1967" s="92" t="n"/>
      <c r="F1967" s="96" t="n"/>
      <c r="G1967" s="96" t="n"/>
      <c r="H1967" s="92" t="n"/>
      <c r="I1967" s="92" t="n"/>
      <c r="J1967" s="92" t="n"/>
      <c r="K1967" s="92" t="n"/>
      <c r="L1967" s="92" t="n"/>
      <c r="M1967" s="97" t="n"/>
      <c r="N1967" s="92" t="n"/>
      <c r="O1967" s="92" t="n"/>
      <c r="P1967" s="92" t="n"/>
    </row>
    <row r="1968" ht="32" customHeight="1">
      <c r="A1968" s="91" t="n"/>
      <c r="B1968" s="91" t="n"/>
      <c r="C1968" s="91" t="n"/>
      <c r="D1968" s="91" t="n"/>
      <c r="E1968" s="91" t="n"/>
      <c r="F1968" s="94" t="n"/>
      <c r="G1968" s="94" t="n"/>
      <c r="H1968" s="91" t="n"/>
      <c r="I1968" s="91" t="n"/>
      <c r="J1968" s="91" t="n"/>
      <c r="K1968" s="91" t="n"/>
      <c r="L1968" s="91" t="n"/>
      <c r="M1968" s="95" t="n"/>
      <c r="N1968" s="91" t="n"/>
      <c r="O1968" s="91" t="n"/>
      <c r="P1968" s="91" t="n"/>
    </row>
    <row r="1969" ht="32" customHeight="1">
      <c r="A1969" s="92" t="n"/>
      <c r="B1969" s="92" t="n"/>
      <c r="C1969" s="92" t="n"/>
      <c r="D1969" s="92" t="n"/>
      <c r="E1969" s="92" t="n"/>
      <c r="F1969" s="96" t="n"/>
      <c r="G1969" s="96" t="n"/>
      <c r="H1969" s="92" t="n"/>
      <c r="I1969" s="92" t="n"/>
      <c r="J1969" s="92" t="n"/>
      <c r="K1969" s="92" t="n"/>
      <c r="L1969" s="92" t="n"/>
      <c r="M1969" s="97" t="n"/>
      <c r="N1969" s="92" t="n"/>
      <c r="O1969" s="92" t="n"/>
      <c r="P1969" s="92" t="n"/>
    </row>
    <row r="1970" ht="32" customHeight="1">
      <c r="A1970" s="91" t="n"/>
      <c r="B1970" s="91" t="n"/>
      <c r="C1970" s="91" t="n"/>
      <c r="D1970" s="91" t="n"/>
      <c r="E1970" s="91" t="n"/>
      <c r="F1970" s="94" t="n"/>
      <c r="G1970" s="94" t="n"/>
      <c r="H1970" s="91" t="n"/>
      <c r="I1970" s="91" t="n"/>
      <c r="J1970" s="91" t="n"/>
      <c r="K1970" s="91" t="n"/>
      <c r="L1970" s="91" t="n"/>
      <c r="M1970" s="95" t="n"/>
      <c r="N1970" s="91" t="n"/>
      <c r="O1970" s="91" t="n"/>
      <c r="P1970" s="91" t="n"/>
    </row>
    <row r="1971" ht="32" customHeight="1">
      <c r="A1971" s="92" t="n"/>
      <c r="B1971" s="92" t="n"/>
      <c r="C1971" s="92" t="n"/>
      <c r="D1971" s="92" t="n"/>
      <c r="E1971" s="92" t="n"/>
      <c r="F1971" s="96" t="n"/>
      <c r="G1971" s="96" t="n"/>
      <c r="H1971" s="92" t="n"/>
      <c r="I1971" s="92" t="n"/>
      <c r="J1971" s="92" t="n"/>
      <c r="K1971" s="92" t="n"/>
      <c r="L1971" s="92" t="n"/>
      <c r="M1971" s="97" t="n"/>
      <c r="N1971" s="92" t="n"/>
      <c r="O1971" s="92" t="n"/>
      <c r="P1971" s="92" t="n"/>
    </row>
    <row r="1972" ht="32" customHeight="1">
      <c r="A1972" s="91" t="n"/>
      <c r="B1972" s="91" t="n"/>
      <c r="C1972" s="91" t="n"/>
      <c r="D1972" s="91" t="n"/>
      <c r="E1972" s="91" t="n"/>
      <c r="F1972" s="94" t="n"/>
      <c r="G1972" s="94" t="n"/>
      <c r="H1972" s="91" t="n"/>
      <c r="I1972" s="91" t="n"/>
      <c r="J1972" s="91" t="n"/>
      <c r="K1972" s="91" t="n"/>
      <c r="L1972" s="91" t="n"/>
      <c r="M1972" s="95" t="n"/>
      <c r="N1972" s="91" t="n"/>
      <c r="O1972" s="91" t="n"/>
      <c r="P1972" s="91" t="n"/>
    </row>
    <row r="1973" ht="32" customHeight="1">
      <c r="A1973" s="92" t="n"/>
      <c r="B1973" s="92" t="n"/>
      <c r="C1973" s="92" t="n"/>
      <c r="D1973" s="92" t="n"/>
      <c r="E1973" s="92" t="n"/>
      <c r="F1973" s="96" t="n"/>
      <c r="G1973" s="96" t="n"/>
      <c r="H1973" s="92" t="n"/>
      <c r="I1973" s="92" t="n"/>
      <c r="J1973" s="92" t="n"/>
      <c r="K1973" s="92" t="n"/>
      <c r="L1973" s="92" t="n"/>
      <c r="M1973" s="97" t="n"/>
      <c r="N1973" s="92" t="n"/>
      <c r="O1973" s="92" t="n"/>
      <c r="P1973" s="92" t="n"/>
    </row>
    <row r="1974" ht="32" customHeight="1">
      <c r="A1974" s="91" t="n"/>
      <c r="B1974" s="91" t="n"/>
      <c r="C1974" s="91" t="n"/>
      <c r="D1974" s="91" t="n"/>
      <c r="E1974" s="91" t="n"/>
      <c r="F1974" s="94" t="n"/>
      <c r="G1974" s="94" t="n"/>
      <c r="H1974" s="91" t="n"/>
      <c r="I1974" s="91" t="n"/>
      <c r="J1974" s="91" t="n"/>
      <c r="K1974" s="91" t="n"/>
      <c r="L1974" s="91" t="n"/>
      <c r="M1974" s="95" t="n"/>
      <c r="N1974" s="91" t="n"/>
      <c r="O1974" s="91" t="n"/>
      <c r="P1974" s="91" t="n"/>
    </row>
    <row r="1975" ht="32" customHeight="1">
      <c r="A1975" s="92" t="n"/>
      <c r="B1975" s="92" t="n"/>
      <c r="C1975" s="92" t="n"/>
      <c r="D1975" s="92" t="n"/>
      <c r="E1975" s="92" t="n"/>
      <c r="F1975" s="96" t="n"/>
      <c r="G1975" s="96" t="n"/>
      <c r="H1975" s="92" t="n"/>
      <c r="I1975" s="92" t="n"/>
      <c r="J1975" s="92" t="n"/>
      <c r="K1975" s="92" t="n"/>
      <c r="L1975" s="92" t="n"/>
      <c r="M1975" s="97" t="n"/>
      <c r="N1975" s="92" t="n"/>
      <c r="O1975" s="92" t="n"/>
      <c r="P1975" s="92" t="n"/>
    </row>
    <row r="1976" ht="32" customHeight="1">
      <c r="A1976" s="91" t="n"/>
      <c r="B1976" s="91" t="n"/>
      <c r="C1976" s="91" t="n"/>
      <c r="D1976" s="91" t="n"/>
      <c r="E1976" s="91" t="n"/>
      <c r="F1976" s="94" t="n"/>
      <c r="G1976" s="94" t="n"/>
      <c r="H1976" s="91" t="n"/>
      <c r="I1976" s="91" t="n"/>
      <c r="J1976" s="91" t="n"/>
      <c r="K1976" s="91" t="n"/>
      <c r="L1976" s="91" t="n"/>
      <c r="M1976" s="95" t="n"/>
      <c r="N1976" s="91" t="n"/>
      <c r="O1976" s="91" t="n"/>
      <c r="P1976" s="91" t="n"/>
    </row>
    <row r="1977" ht="32" customHeight="1">
      <c r="A1977" s="92" t="n"/>
      <c r="B1977" s="92" t="n"/>
      <c r="C1977" s="92" t="n"/>
      <c r="D1977" s="92" t="n"/>
      <c r="E1977" s="92" t="n"/>
      <c r="F1977" s="96" t="n"/>
      <c r="G1977" s="96" t="n"/>
      <c r="H1977" s="92" t="n"/>
      <c r="I1977" s="92" t="n"/>
      <c r="J1977" s="92" t="n"/>
      <c r="K1977" s="92" t="n"/>
      <c r="L1977" s="92" t="n"/>
      <c r="M1977" s="97" t="n"/>
      <c r="N1977" s="92" t="n"/>
      <c r="O1977" s="92" t="n"/>
      <c r="P1977" s="92" t="n"/>
    </row>
    <row r="1978" ht="32" customHeight="1">
      <c r="A1978" s="91" t="n"/>
      <c r="B1978" s="91" t="n"/>
      <c r="C1978" s="91" t="n"/>
      <c r="D1978" s="91" t="n"/>
      <c r="E1978" s="91" t="n"/>
      <c r="F1978" s="94" t="n"/>
      <c r="G1978" s="94" t="n"/>
      <c r="H1978" s="91" t="n"/>
      <c r="I1978" s="91" t="n"/>
      <c r="J1978" s="91" t="n"/>
      <c r="K1978" s="91" t="n"/>
      <c r="L1978" s="91" t="n"/>
      <c r="M1978" s="95" t="n"/>
      <c r="N1978" s="91" t="n"/>
      <c r="O1978" s="91" t="n"/>
      <c r="P1978" s="91" t="n"/>
    </row>
    <row r="1979" ht="32" customHeight="1">
      <c r="A1979" s="92" t="n"/>
      <c r="B1979" s="92" t="n"/>
      <c r="C1979" s="92" t="n"/>
      <c r="D1979" s="92" t="n"/>
      <c r="E1979" s="92" t="n"/>
      <c r="F1979" s="96" t="n"/>
      <c r="G1979" s="96" t="n"/>
      <c r="H1979" s="92" t="n"/>
      <c r="I1979" s="92" t="n"/>
      <c r="J1979" s="92" t="n"/>
      <c r="K1979" s="92" t="n"/>
      <c r="L1979" s="92" t="n"/>
      <c r="M1979" s="97" t="n"/>
      <c r="N1979" s="92" t="n"/>
      <c r="O1979" s="92" t="n"/>
      <c r="P1979" s="92" t="n"/>
    </row>
    <row r="1980" ht="32" customHeight="1">
      <c r="A1980" s="91" t="n"/>
      <c r="B1980" s="91" t="n"/>
      <c r="C1980" s="91" t="n"/>
      <c r="D1980" s="91" t="n"/>
      <c r="E1980" s="91" t="n"/>
      <c r="F1980" s="94" t="n"/>
      <c r="G1980" s="94" t="n"/>
      <c r="H1980" s="91" t="n"/>
      <c r="I1980" s="91" t="n"/>
      <c r="J1980" s="91" t="n"/>
      <c r="K1980" s="91" t="n"/>
      <c r="L1980" s="91" t="n"/>
      <c r="M1980" s="95" t="n"/>
      <c r="N1980" s="91" t="n"/>
      <c r="O1980" s="91" t="n"/>
      <c r="P1980" s="91" t="n"/>
    </row>
    <row r="1981" ht="32" customHeight="1">
      <c r="A1981" s="92" t="n"/>
      <c r="B1981" s="92" t="n"/>
      <c r="C1981" s="92" t="n"/>
      <c r="D1981" s="92" t="n"/>
      <c r="E1981" s="92" t="n"/>
      <c r="F1981" s="96" t="n"/>
      <c r="G1981" s="96" t="n"/>
      <c r="H1981" s="92" t="n"/>
      <c r="I1981" s="92" t="n"/>
      <c r="J1981" s="92" t="n"/>
      <c r="K1981" s="92" t="n"/>
      <c r="L1981" s="92" t="n"/>
      <c r="M1981" s="97" t="n"/>
      <c r="N1981" s="92" t="n"/>
      <c r="O1981" s="92" t="n"/>
      <c r="P1981" s="92" t="n"/>
    </row>
    <row r="1982" ht="32" customHeight="1">
      <c r="A1982" s="91" t="n"/>
      <c r="B1982" s="91" t="n"/>
      <c r="C1982" s="91" t="n"/>
      <c r="D1982" s="91" t="n"/>
      <c r="E1982" s="91" t="n"/>
      <c r="F1982" s="94" t="n"/>
      <c r="G1982" s="94" t="n"/>
      <c r="H1982" s="91" t="n"/>
      <c r="I1982" s="91" t="n"/>
      <c r="J1982" s="91" t="n"/>
      <c r="K1982" s="91" t="n"/>
      <c r="L1982" s="91" t="n"/>
      <c r="M1982" s="95" t="n"/>
      <c r="N1982" s="91" t="n"/>
      <c r="O1982" s="91" t="n"/>
      <c r="P1982" s="91" t="n"/>
    </row>
    <row r="1983" ht="32" customHeight="1">
      <c r="A1983" s="92" t="n"/>
      <c r="B1983" s="92" t="n"/>
      <c r="C1983" s="92" t="n"/>
      <c r="D1983" s="92" t="n"/>
      <c r="E1983" s="92" t="n"/>
      <c r="F1983" s="96" t="n"/>
      <c r="G1983" s="96" t="n"/>
      <c r="H1983" s="92" t="n"/>
      <c r="I1983" s="92" t="n"/>
      <c r="J1983" s="92" t="n"/>
      <c r="K1983" s="92" t="n"/>
      <c r="L1983" s="92" t="n"/>
      <c r="M1983" s="97" t="n"/>
      <c r="N1983" s="92" t="n"/>
      <c r="O1983" s="92" t="n"/>
      <c r="P1983" s="92" t="n"/>
    </row>
    <row r="1984" ht="32" customHeight="1">
      <c r="A1984" s="91" t="n"/>
      <c r="B1984" s="91" t="n"/>
      <c r="C1984" s="91" t="n"/>
      <c r="D1984" s="91" t="n"/>
      <c r="E1984" s="91" t="n"/>
      <c r="F1984" s="94" t="n"/>
      <c r="G1984" s="94" t="n"/>
      <c r="H1984" s="91" t="n"/>
      <c r="I1984" s="91" t="n"/>
      <c r="J1984" s="91" t="n"/>
      <c r="K1984" s="91" t="n"/>
      <c r="L1984" s="91" t="n"/>
      <c r="M1984" s="95" t="n"/>
      <c r="N1984" s="91" t="n"/>
      <c r="O1984" s="91" t="n"/>
      <c r="P1984" s="91" t="n"/>
    </row>
    <row r="1985" ht="32" customHeight="1">
      <c r="A1985" s="92" t="n"/>
      <c r="B1985" s="92" t="n"/>
      <c r="C1985" s="92" t="n"/>
      <c r="D1985" s="92" t="n"/>
      <c r="E1985" s="92" t="n"/>
      <c r="F1985" s="96" t="n"/>
      <c r="G1985" s="96" t="n"/>
      <c r="H1985" s="92" t="n"/>
      <c r="I1985" s="92" t="n"/>
      <c r="J1985" s="92" t="n"/>
      <c r="K1985" s="92" t="n"/>
      <c r="L1985" s="92" t="n"/>
      <c r="M1985" s="97" t="n"/>
      <c r="N1985" s="92" t="n"/>
      <c r="O1985" s="92" t="n"/>
      <c r="P1985" s="92" t="n"/>
    </row>
    <row r="1986" ht="32" customHeight="1">
      <c r="A1986" s="91" t="n"/>
      <c r="B1986" s="91" t="n"/>
      <c r="C1986" s="91" t="n"/>
      <c r="D1986" s="91" t="n"/>
      <c r="E1986" s="91" t="n"/>
      <c r="F1986" s="94" t="n"/>
      <c r="G1986" s="94" t="n"/>
      <c r="H1986" s="91" t="n"/>
      <c r="I1986" s="91" t="n"/>
      <c r="J1986" s="91" t="n"/>
      <c r="K1986" s="91" t="n"/>
      <c r="L1986" s="91" t="n"/>
      <c r="M1986" s="95" t="n"/>
      <c r="N1986" s="91" t="n"/>
      <c r="O1986" s="91" t="n"/>
      <c r="P1986" s="91" t="n"/>
    </row>
    <row r="1987" ht="32" customHeight="1">
      <c r="A1987" s="92" t="n"/>
      <c r="B1987" s="92" t="n"/>
      <c r="C1987" s="92" t="n"/>
      <c r="D1987" s="92" t="n"/>
      <c r="E1987" s="92" t="n"/>
      <c r="F1987" s="96" t="n"/>
      <c r="G1987" s="96" t="n"/>
      <c r="H1987" s="92" t="n"/>
      <c r="I1987" s="92" t="n"/>
      <c r="J1987" s="92" t="n"/>
      <c r="K1987" s="92" t="n"/>
      <c r="L1987" s="92" t="n"/>
      <c r="M1987" s="97" t="n"/>
      <c r="N1987" s="92" t="n"/>
      <c r="O1987" s="92" t="n"/>
      <c r="P1987" s="92" t="n"/>
    </row>
    <row r="1988" ht="32" customHeight="1">
      <c r="A1988" s="91" t="n"/>
      <c r="B1988" s="91" t="n"/>
      <c r="C1988" s="91" t="n"/>
      <c r="D1988" s="91" t="n"/>
      <c r="E1988" s="91" t="n"/>
      <c r="F1988" s="94" t="n"/>
      <c r="G1988" s="94" t="n"/>
      <c r="H1988" s="91" t="n"/>
      <c r="I1988" s="91" t="n"/>
      <c r="J1988" s="91" t="n"/>
      <c r="K1988" s="91" t="n"/>
      <c r="L1988" s="91" t="n"/>
      <c r="M1988" s="95" t="n"/>
      <c r="N1988" s="91" t="n"/>
      <c r="O1988" s="91" t="n"/>
      <c r="P1988" s="91" t="n"/>
    </row>
    <row r="1989" ht="32" customHeight="1">
      <c r="A1989" s="92" t="n"/>
      <c r="B1989" s="92" t="n"/>
      <c r="C1989" s="92" t="n"/>
      <c r="D1989" s="92" t="n"/>
      <c r="E1989" s="92" t="n"/>
      <c r="F1989" s="96" t="n"/>
      <c r="G1989" s="96" t="n"/>
      <c r="H1989" s="92" t="n"/>
      <c r="I1989" s="92" t="n"/>
      <c r="J1989" s="92" t="n"/>
      <c r="K1989" s="92" t="n"/>
      <c r="L1989" s="92" t="n"/>
      <c r="M1989" s="97" t="n"/>
      <c r="N1989" s="92" t="n"/>
      <c r="O1989" s="92" t="n"/>
      <c r="P1989" s="92" t="n"/>
    </row>
    <row r="1990" ht="32" customHeight="1">
      <c r="A1990" s="91" t="n"/>
      <c r="B1990" s="91" t="n"/>
      <c r="C1990" s="91" t="n"/>
      <c r="D1990" s="91" t="n"/>
      <c r="E1990" s="91" t="n"/>
      <c r="F1990" s="94" t="n"/>
      <c r="G1990" s="94" t="n"/>
      <c r="H1990" s="91" t="n"/>
      <c r="I1990" s="91" t="n"/>
      <c r="J1990" s="91" t="n"/>
      <c r="K1990" s="91" t="n"/>
      <c r="L1990" s="91" t="n"/>
      <c r="M1990" s="95" t="n"/>
      <c r="N1990" s="91" t="n"/>
      <c r="O1990" s="91" t="n"/>
      <c r="P1990" s="91" t="n"/>
    </row>
    <row r="1991" ht="32" customHeight="1">
      <c r="A1991" s="92" t="n"/>
      <c r="B1991" s="92" t="n"/>
      <c r="C1991" s="92" t="n"/>
      <c r="D1991" s="92" t="n"/>
      <c r="E1991" s="92" t="n"/>
      <c r="F1991" s="96" t="n"/>
      <c r="G1991" s="96" t="n"/>
      <c r="H1991" s="92" t="n"/>
      <c r="I1991" s="92" t="n"/>
      <c r="J1991" s="92" t="n"/>
      <c r="K1991" s="92" t="n"/>
      <c r="L1991" s="92" t="n"/>
      <c r="M1991" s="97" t="n"/>
      <c r="N1991" s="92" t="n"/>
      <c r="O1991" s="92" t="n"/>
      <c r="P1991" s="92" t="n"/>
    </row>
    <row r="1992" ht="32" customHeight="1">
      <c r="A1992" s="91" t="n"/>
      <c r="B1992" s="91" t="n"/>
      <c r="C1992" s="91" t="n"/>
      <c r="D1992" s="91" t="n"/>
      <c r="E1992" s="91" t="n"/>
      <c r="F1992" s="94" t="n"/>
      <c r="G1992" s="94" t="n"/>
      <c r="H1992" s="91" t="n"/>
      <c r="I1992" s="91" t="n"/>
      <c r="J1992" s="91" t="n"/>
      <c r="K1992" s="91" t="n"/>
      <c r="L1992" s="91" t="n"/>
      <c r="M1992" s="95" t="n"/>
      <c r="N1992" s="91" t="n"/>
      <c r="O1992" s="91" t="n"/>
      <c r="P1992" s="91" t="n"/>
    </row>
    <row r="1993" ht="32" customHeight="1">
      <c r="A1993" s="92" t="n"/>
      <c r="B1993" s="92" t="n"/>
      <c r="C1993" s="92" t="n"/>
      <c r="D1993" s="92" t="n"/>
      <c r="E1993" s="92" t="n"/>
      <c r="F1993" s="96" t="n"/>
      <c r="G1993" s="96" t="n"/>
      <c r="H1993" s="92" t="n"/>
      <c r="I1993" s="92" t="n"/>
      <c r="J1993" s="92" t="n"/>
      <c r="K1993" s="92" t="n"/>
      <c r="L1993" s="92" t="n"/>
      <c r="M1993" s="97" t="n"/>
      <c r="N1993" s="92" t="n"/>
      <c r="O1993" s="92" t="n"/>
      <c r="P1993" s="92" t="n"/>
    </row>
    <row r="1994" ht="32" customHeight="1">
      <c r="A1994" s="91" t="n"/>
      <c r="B1994" s="91" t="n"/>
      <c r="C1994" s="91" t="n"/>
      <c r="D1994" s="91" t="n"/>
      <c r="E1994" s="91" t="n"/>
      <c r="F1994" s="94" t="n"/>
      <c r="G1994" s="94" t="n"/>
      <c r="H1994" s="91" t="n"/>
      <c r="I1994" s="91" t="n"/>
      <c r="J1994" s="91" t="n"/>
      <c r="K1994" s="91" t="n"/>
      <c r="L1994" s="91" t="n"/>
      <c r="M1994" s="95" t="n"/>
      <c r="N1994" s="91" t="n"/>
      <c r="O1994" s="91" t="n"/>
      <c r="P1994" s="91" t="n"/>
    </row>
    <row r="1995" ht="32" customHeight="1">
      <c r="A1995" s="92" t="n"/>
      <c r="B1995" s="92" t="n"/>
      <c r="C1995" s="92" t="n"/>
      <c r="D1995" s="92" t="n"/>
      <c r="E1995" s="92" t="n"/>
      <c r="F1995" s="96" t="n"/>
      <c r="G1995" s="96" t="n"/>
      <c r="H1995" s="92" t="n"/>
      <c r="I1995" s="92" t="n"/>
      <c r="J1995" s="92" t="n"/>
      <c r="K1995" s="92" t="n"/>
      <c r="L1995" s="92" t="n"/>
      <c r="M1995" s="97" t="n"/>
      <c r="N1995" s="92" t="n"/>
      <c r="O1995" s="92" t="n"/>
      <c r="P1995" s="92" t="n"/>
    </row>
    <row r="1996" ht="32" customHeight="1">
      <c r="A1996" s="91" t="n"/>
      <c r="B1996" s="91" t="n"/>
      <c r="C1996" s="91" t="n"/>
      <c r="D1996" s="91" t="n"/>
      <c r="E1996" s="91" t="n"/>
      <c r="F1996" s="94" t="n"/>
      <c r="G1996" s="94" t="n"/>
      <c r="H1996" s="91" t="n"/>
      <c r="I1996" s="91" t="n"/>
      <c r="J1996" s="91" t="n"/>
      <c r="K1996" s="91" t="n"/>
      <c r="L1996" s="91" t="n"/>
      <c r="M1996" s="95" t="n"/>
      <c r="N1996" s="91" t="n"/>
      <c r="O1996" s="91" t="n"/>
      <c r="P1996" s="91" t="n"/>
    </row>
    <row r="1997" ht="32" customHeight="1">
      <c r="A1997" s="92" t="n"/>
      <c r="B1997" s="92" t="n"/>
      <c r="C1997" s="92" t="n"/>
      <c r="D1997" s="92" t="n"/>
      <c r="E1997" s="92" t="n"/>
      <c r="F1997" s="96" t="n"/>
      <c r="G1997" s="96" t="n"/>
      <c r="H1997" s="92" t="n"/>
      <c r="I1997" s="92" t="n"/>
      <c r="J1997" s="92" t="n"/>
      <c r="K1997" s="92" t="n"/>
      <c r="L1997" s="92" t="n"/>
      <c r="M1997" s="97" t="n"/>
      <c r="N1997" s="92" t="n"/>
      <c r="O1997" s="92" t="n"/>
      <c r="P1997" s="92" t="n"/>
    </row>
    <row r="1998" ht="32" customHeight="1">
      <c r="A1998" s="91" t="n"/>
      <c r="B1998" s="91" t="n"/>
      <c r="C1998" s="91" t="n"/>
      <c r="D1998" s="91" t="n"/>
      <c r="E1998" s="91" t="n"/>
      <c r="F1998" s="94" t="n"/>
      <c r="G1998" s="94" t="n"/>
      <c r="H1998" s="91" t="n"/>
      <c r="I1998" s="91" t="n"/>
      <c r="J1998" s="91" t="n"/>
      <c r="K1998" s="91" t="n"/>
      <c r="L1998" s="91" t="n"/>
      <c r="M1998" s="95" t="n"/>
      <c r="N1998" s="91" t="n"/>
      <c r="O1998" s="91" t="n"/>
      <c r="P1998" s="91" t="n"/>
    </row>
    <row r="1999" ht="32" customHeight="1">
      <c r="A1999" s="92" t="n"/>
      <c r="B1999" s="92" t="n"/>
      <c r="C1999" s="92" t="n"/>
      <c r="D1999" s="92" t="n"/>
      <c r="E1999" s="92" t="n"/>
      <c r="F1999" s="96" t="n"/>
      <c r="G1999" s="96" t="n"/>
      <c r="H1999" s="92" t="n"/>
      <c r="I1999" s="92" t="n"/>
      <c r="J1999" s="92" t="n"/>
      <c r="K1999" s="92" t="n"/>
      <c r="L1999" s="92" t="n"/>
      <c r="M1999" s="97" t="n"/>
      <c r="N1999" s="92" t="n"/>
      <c r="O1999" s="92" t="n"/>
      <c r="P1999" s="92" t="n"/>
    </row>
    <row r="2000" ht="32" customHeight="1">
      <c r="A2000" s="91" t="n"/>
      <c r="B2000" s="91" t="n"/>
      <c r="C2000" s="91" t="n"/>
      <c r="D2000" s="91" t="n"/>
      <c r="E2000" s="91" t="n"/>
      <c r="F2000" s="94" t="n"/>
      <c r="G2000" s="94" t="n"/>
      <c r="H2000" s="91" t="n"/>
      <c r="I2000" s="91" t="n"/>
      <c r="J2000" s="91" t="n"/>
      <c r="K2000" s="91" t="n"/>
      <c r="L2000" s="91" t="n"/>
      <c r="M2000" s="95" t="n"/>
      <c r="N2000" s="91" t="n"/>
      <c r="O2000" s="91" t="n"/>
      <c r="P2000" s="91" t="n"/>
    </row>
    <row r="2001" ht="32" customHeight="1">
      <c r="A2001" s="92" t="n"/>
      <c r="B2001" s="92" t="n"/>
      <c r="C2001" s="92" t="n"/>
      <c r="D2001" s="92" t="n"/>
      <c r="E2001" s="92" t="n"/>
      <c r="F2001" s="96" t="n"/>
      <c r="G2001" s="96" t="n"/>
      <c r="H2001" s="92" t="n"/>
      <c r="I2001" s="92" t="n"/>
      <c r="J2001" s="92" t="n"/>
      <c r="K2001" s="92" t="n"/>
      <c r="L2001" s="92" t="n"/>
      <c r="M2001" s="97" t="n"/>
      <c r="N2001" s="92" t="n"/>
      <c r="O2001" s="92" t="n"/>
      <c r="P2001" s="92" t="n"/>
    </row>
    <row r="2002" ht="32" customHeight="1">
      <c r="A2002" s="91" t="n"/>
      <c r="B2002" s="91" t="n"/>
      <c r="C2002" s="91" t="n"/>
      <c r="D2002" s="91" t="n"/>
      <c r="E2002" s="91" t="n"/>
      <c r="F2002" s="94" t="n"/>
      <c r="G2002" s="94" t="n"/>
      <c r="H2002" s="91" t="n"/>
      <c r="I2002" s="91" t="n"/>
      <c r="J2002" s="91" t="n"/>
      <c r="K2002" s="91" t="n"/>
      <c r="L2002" s="91" t="n"/>
      <c r="M2002" s="95" t="n"/>
      <c r="N2002" s="91" t="n"/>
      <c r="O2002" s="91" t="n"/>
      <c r="P2002" s="91" t="n"/>
    </row>
    <row r="2003" ht="32" customHeight="1">
      <c r="A2003" s="92" t="n"/>
      <c r="B2003" s="92" t="n"/>
      <c r="C2003" s="92" t="n"/>
      <c r="D2003" s="92" t="n"/>
      <c r="E2003" s="92" t="n"/>
      <c r="F2003" s="96" t="n"/>
      <c r="G2003" s="96" t="n"/>
      <c r="H2003" s="92" t="n"/>
      <c r="I2003" s="92" t="n"/>
      <c r="J2003" s="92" t="n"/>
      <c r="K2003" s="92" t="n"/>
      <c r="L2003" s="92" t="n"/>
      <c r="M2003" s="97" t="n"/>
      <c r="N2003" s="92" t="n"/>
      <c r="O2003" s="92" t="n"/>
      <c r="P2003" s="92" t="n"/>
    </row>
    <row r="2004" ht="32" customHeight="1">
      <c r="A2004" s="91" t="n"/>
      <c r="B2004" s="91" t="n"/>
      <c r="C2004" s="91" t="n"/>
      <c r="D2004" s="91" t="n"/>
      <c r="E2004" s="91" t="n"/>
      <c r="F2004" s="94" t="n"/>
      <c r="G2004" s="94" t="n"/>
      <c r="H2004" s="91" t="n"/>
      <c r="I2004" s="91" t="n"/>
      <c r="J2004" s="91" t="n"/>
      <c r="K2004" s="91" t="n"/>
      <c r="L2004" s="91" t="n"/>
      <c r="M2004" s="95" t="n"/>
      <c r="N2004" s="91" t="n"/>
      <c r="O2004" s="91" t="n"/>
      <c r="P2004" s="91" t="n"/>
    </row>
    <row r="2005" ht="32" customHeight="1">
      <c r="A2005" s="92" t="n"/>
      <c r="B2005" s="92" t="n"/>
      <c r="C2005" s="92" t="n"/>
      <c r="D2005" s="92" t="n"/>
      <c r="E2005" s="92" t="n"/>
      <c r="F2005" s="96" t="n"/>
      <c r="G2005" s="96" t="n"/>
      <c r="H2005" s="92" t="n"/>
      <c r="I2005" s="92" t="n"/>
      <c r="J2005" s="92" t="n"/>
      <c r="K2005" s="92" t="n"/>
      <c r="L2005" s="92" t="n"/>
      <c r="M2005" s="97" t="n"/>
      <c r="N2005" s="92" t="n"/>
      <c r="O2005" s="92" t="n"/>
      <c r="P2005" s="92" t="n"/>
    </row>
    <row r="2006">
      <c r="A2006" t="inlineStr">
        <is>
          <t>R20260915-P41-01</t>
        </is>
      </c>
      <c r="B2006" t="inlineStr">
        <is>
          <t>P41</t>
        </is>
      </c>
      <c r="C2006" t="inlineStr">
        <is>
          <t>订单表+迁移0021+companion批量上报+查询API+collect编排+Web订单页（slice1全链）</t>
        </is>
      </c>
      <c r="D2006" t="inlineStr">
        <is>
          <t>GLM-5.3内置子代理+W0总控</t>
        </is>
      </c>
      <c r="E2006" t="inlineStr">
        <is>
          <t>W1/W3子代理开发,W0集成部署</t>
        </is>
      </c>
      <c r="F2006" t="inlineStr">
        <is>
          <t>2026-09-15</t>
        </is>
      </c>
      <c r="G2006" t="inlineStr">
        <is>
          <t>2026-09-15</t>
        </is>
      </c>
      <c r="L2006" t="inlineStr">
        <is>
          <t>1</t>
        </is>
      </c>
      <c r="N2006" t="inlineStr">
        <is>
          <t>模块通过+集成通过：后端626/1·Web178全绿；首尔orders-7adc827上线（PG迁移0021+备份，drop-in可回滚）；集成c113f0e已推送</t>
        </is>
      </c>
      <c r="P2006" t="inlineStr">
        <is>
          <t>cloudctl-source/artifacts/tasks/P41-P42-orders/orders-slice1-20260915/</t>
        </is>
      </c>
    </row>
    <row r="2007">
      <c r="A2007" t="inlineStr">
        <is>
          <t>R20260915-P42-01</t>
        </is>
      </c>
      <c r="B2007" t="inlineStr">
        <is>
          <t>P42</t>
        </is>
      </c>
      <c r="C2007" t="inlineStr">
        <is>
          <t>readOrders真机采集：定位器翻转+Flutter渲染重试修复+双方向验收</t>
        </is>
      </c>
      <c r="D2007" t="inlineStr">
        <is>
          <t>GLM-5.3内置子代理+W0总控</t>
        </is>
      </c>
      <c r="E2007" t="inlineStr">
        <is>
          <t>W2子代理开发,W0持DEVICE锁真机验收</t>
        </is>
      </c>
      <c r="F2007" t="inlineStr">
        <is>
          <t>2026-09-15</t>
        </is>
      </c>
      <c r="G2007" t="inlineStr">
        <is>
          <t>2026-09-15</t>
        </is>
      </c>
      <c r="L2007" t="inlineStr">
        <is>
          <t>2</t>
        </is>
      </c>
      <c r="N2007" t="inlineStr">
        <is>
          <t>真机验收通过：SOLD run bdb3dc74与BOUGHT run 3f77b85f均SUCCEEDED，6真实订单入库（价格U+200B碎片拼接全对）；首轮4579e4d1时序缺陷LOCATOR_NOT_FOUND已修复并补2单测</t>
        </is>
      </c>
      <c r="P2007" t="inlineStr">
        <is>
          <t>cloudctl-source/artifacts/tasks/P41-P42-orders/orders-slice1-20260915/w0-acceptance/report.md</t>
        </is>
      </c>
    </row>
    <row r="2008">
      <c r="A2008" t="inlineStr">
        <is>
          <t>R20260915-P09-07</t>
        </is>
      </c>
      <c r="B2008" t="inlineStr">
        <is>
          <t>P09</t>
        </is>
      </c>
      <c r="C2008" t="inlineStr">
        <is>
          <t>维护稳健化勘察：管理按钮语义锚点+菜单结构+订单页/已下架/草稿+锚点契约冻结</t>
        </is>
      </c>
      <c r="D2008" t="inlineStr">
        <is>
          <t>W0总控(GLM-5.3)</t>
        </is>
      </c>
      <c r="E2008" t="inlineStr">
        <is>
          <t>W0串行持DEVICE锁,只读勘察</t>
        </is>
      </c>
      <c r="F2008" t="inlineStr">
        <is>
          <t>2026-09-15</t>
        </is>
      </c>
      <c r="G2008" t="inlineStr">
        <is>
          <t>2026-09-15</t>
        </is>
      </c>
      <c r="L2008" t="inlineStr">
        <is>
          <t>0</t>
        </is>
      </c>
      <c r="N2008" t="inlineStr">
        <is>
          <t>勘察完成并冻结xianyu-anchors-20260915（95c99c4）：管理按钮语义可点；菜单文本锚点（编辑/下架/删除/取消,推广/超擦为G3禁区）；列表标题可读→platformItemId映射可行；草稿tab空态未标定；全程零副作用</t>
        </is>
      </c>
      <c r="P2008" t="inlineStr">
        <is>
          <t>cloudctl-source/artifacts/tasks/P09-unknown/xianyu-maintenance-20260915/recon-20260915-2/</t>
        </is>
      </c>
    </row>
    <row r="2009">
      <c r="A2009" t="inlineStr">
        <is>
          <t>R20260915-P29-02</t>
        </is>
      </c>
      <c r="B2009" t="inlineStr">
        <is>
          <t>P29</t>
        </is>
      </c>
      <c r="C2009" t="inlineStr">
        <is>
          <t>维护动作v2新路径(标题定位→详情→管理菜单)全栈+无意图安全干跑</t>
        </is>
      </c>
      <c r="D2009" t="inlineStr">
        <is>
          <t>GLM-5.3内置子代理+W0总控</t>
        </is>
      </c>
      <c r="E2009" t="inlineStr">
        <is>
          <t>W4子代理开发,W0集成部署+持DEVICE锁干跑</t>
        </is>
      </c>
      <c r="F2009" t="inlineStr">
        <is>
          <t>2026-09-15</t>
        </is>
      </c>
      <c r="G2009" t="inlineStr">
        <is>
          <t>2026-09-15</t>
        </is>
      </c>
      <c r="L2009" t="inlineStr">
        <is>
          <t>1</t>
        </is>
      </c>
      <c r="N2009" t="inlineStr">
        <is>
          <t>模块通过+集成通过+干跑验证：三端656/1·356·184全绿并部署首尔maint-v2-c13aad8；干跑task 68437f3f新路径步骤0-6全SUCCEEDED、确认弹窗出现、GATED确认单击未发生、在卖187不变零副作用；BADGE_UNREADABLE集成缝已修复(876e4a7)</t>
        </is>
      </c>
      <c r="O2009" t="inlineStr">
        <is>
          <t>BADGE_UNREADABLE(v2详情页上下文)</t>
        </is>
      </c>
      <c r="P2009" t="inlineStr">
        <is>
          <t>cloudctl-source/artifacts/tasks/P09-unknown/xianyu-maintenance-20260915/w4-newpath/</t>
        </is>
      </c>
    </row>
    <row r="2010">
      <c r="A2010" t="inlineStr">
        <is>
          <t>R20260915-P42-02</t>
        </is>
      </c>
      <c r="B2010" t="inlineStr">
        <is>
          <t>P42</t>
        </is>
      </c>
      <c r="C2010" t="inlineStr">
        <is>
          <t>订单slice2后端+Web（screens入参/v2多屏形状/采集入口启用）</t>
        </is>
      </c>
      <c r="D2010" t="inlineStr">
        <is>
          <t>GLM-5.3内置子代理+W0总控</t>
        </is>
      </c>
      <c r="E2010" t="inlineStr">
        <is>
          <t>S2API/S2WEB子代理开发,W0集成</t>
        </is>
      </c>
      <c r="F2010" t="inlineStr">
        <is>
          <t>2026-09-15</t>
        </is>
      </c>
      <c r="G2010" t="inlineStr">
        <is>
          <t>2026-09-15</t>
        </is>
      </c>
      <c r="L2010" t="inlineStr">
        <is>
          <t>0</t>
        </is>
      </c>
      <c r="N2010" t="inlineStr">
        <is>
          <t>模块通过+集成通过：后端656/1(8变异门禁+v1零改动)、Web 184全绿、首尔已上线；Android v2执行器下一切片</t>
        </is>
      </c>
      <c r="P2010" t="inlineStr">
        <is>
          <t>cloudctl-source/artifacts/tasks/P41-P42-orders/orders-slice2-20260915/</t>
        </is>
      </c>
    </row>
    <row r="2011">
      <c r="A2011" s="1" t="inlineStr">
        <is>
          <t>R20260916-P09-08</t>
        </is>
      </c>
      <c r="B2011" s="1" t="inlineStr">
        <is>
          <t>P09</t>
        </is>
      </c>
      <c r="C2011" s="1" t="inlineStr">
        <is>
          <t>事故修复：嵌套卡片结构定位+安全点击带</t>
        </is>
      </c>
      <c r="D2011" s="1" t="inlineStr">
        <is>
          <t>W0总控</t>
        </is>
      </c>
      <c r="E2011" s="1" t="inlineStr">
        <is>
          <t>主线修复+真机只读核对</t>
        </is>
      </c>
      <c r="F2011" s="1" t="inlineStr">
        <is>
          <t>2026-09-16</t>
        </is>
      </c>
      <c r="G2011" s="1" t="inlineStr">
        <is>
          <t>2026-09-16</t>
        </is>
      </c>
      <c r="H2011" s="1" t="n"/>
      <c r="I2011" s="1" t="n"/>
      <c r="J2011" s="1" t="n"/>
      <c r="K2011" s="1" t="n"/>
      <c r="L2011" s="1" t="inlineStr">
        <is>
          <t>0</t>
        </is>
      </c>
      <c r="M2011" s="1" t="n"/>
      <c r="N2011" s="1" t="inlineStr">
        <is>
          <t>模块通过：定位器12项回归全绿；标题叶节点向上解析卡片，整列表包裹/退化矩形 fail-closed；点击点限制在卡片与屏幕安全带交集；设备目标卡片唯一且取消后仍存在</t>
        </is>
      </c>
      <c r="O2011" s="1" t="n"/>
      <c r="P2011" s="1" t="inlineStr">
        <is>
          <t>cloudctl-source/artifacts/tasks/P09-unknown/xianyu-maintenance-20260916/delete-dialog-readonly/</t>
        </is>
      </c>
    </row>
    <row r="2012">
      <c r="A2012" s="1" t="inlineStr">
        <is>
          <t>R20260916-P09-09</t>
        </is>
      </c>
      <c r="B2012" s="1" t="inlineStr">
        <is>
          <t>P09</t>
        </is>
      </c>
      <c r="C2012" s="1" t="inlineStr">
        <is>
          <t>无障碍 readiness：claim 前稳定门禁+三入口防御等待</t>
        </is>
      </c>
      <c r="D2012" s="1" t="inlineStr">
        <is>
          <t>GLM子代理+W0总控</t>
        </is>
      </c>
      <c r="E2012" s="1" t="inlineStr">
        <is>
          <t>子代理实现,W0审阅集成</t>
        </is>
      </c>
      <c r="F2012" s="1" t="inlineStr">
        <is>
          <t>2026-09-16</t>
        </is>
      </c>
      <c r="G2012" s="1" t="inlineStr">
        <is>
          <t>2026-09-16</t>
        </is>
      </c>
      <c r="H2012" s="1" t="n"/>
      <c r="I2012" s="1" t="n"/>
      <c r="J2012" s="1" t="n"/>
      <c r="K2012" s="1" t="n"/>
      <c r="L2012" s="1" t="inlineStr">
        <is>
          <t>0</t>
        </is>
      </c>
      <c r="M2012" s="1" t="n"/>
      <c r="N2012" s="1" t="inlineStr">
        <is>
          <t>模块通过：7项定向测试+Android全量375项全绿；enabled与active分离，稳定实例才claim；normal/resume/CommandV1保留3秒防御等待；ACCESSIBILITY_NOT_ACTIVE不再误报未启用</t>
        </is>
      </c>
      <c r="O2012" s="1" t="inlineStr">
        <is>
          <t>claim后网络窗口断连仍需后续lease/requeue协议</t>
        </is>
      </c>
      <c r="P2012" s="1" t="inlineStr">
        <is>
          <t>cloudctl-source/mobile/companion/app/src/test/java/com/company/cloudctl/companion/service/AccessibilityRuntimeReadinessTest.kt</t>
        </is>
      </c>
    </row>
    <row r="2013" ht="150" customHeight="1">
      <c r="A2013" s="124" t="inlineStr">
        <is>
          <t>R20260916-P09-10</t>
        </is>
      </c>
      <c r="B2013" s="124" t="inlineStr">
        <is>
          <t>P09</t>
        </is>
      </c>
      <c r="C2013" s="124" t="inlineStr">
        <is>
          <t>v2删除语义门禁生产装配+真实包装层防误选+新APK构建</t>
        </is>
      </c>
      <c r="D2013" s="124" t="inlineStr">
        <is>
          <t>W0总控+GLM审阅子代理</t>
        </is>
      </c>
      <c r="E2013" s="124" t="inlineStr">
        <is>
          <t>W0修复集成+独立只读复审</t>
        </is>
      </c>
      <c r="F2013" s="124" t="inlineStr">
        <is>
          <t>2026-09-16</t>
        </is>
      </c>
      <c r="G2013" s="124" t="inlineStr">
        <is>
          <t>2026-09-16</t>
        </is>
      </c>
      <c r="H2013" s="124" t="n"/>
      <c r="I2013" s="124" t="n"/>
      <c r="J2013" s="124" t="n"/>
      <c r="K2013" s="124" t="n"/>
      <c r="L2013" s="124" t="inlineStr">
        <is>
          <t>0</t>
        </is>
      </c>
      <c r="M2013" s="124" t="n"/>
      <c r="N2013" s="124" t="inlineStr">
        <is>
          <t>模块通过：生产服务已为xianyu_delete_confirm构造受控门禁，普通Tap不进门禁且旧布局确认不变；全列表包装/退化矩形fail-closed；Android全量380项、后端662项通过（1跳过），最终定向16项通过；APK内嵌48005da-dirty，SHA256=c6353cdd…c15f7；本检查点未触发确认、未删除商品</t>
        </is>
      </c>
      <c r="O2013" s="124" t="inlineStr">
        <is>
          <t>真机验收未执行；claim后断连lease/requeue仍为后续协议缺口</t>
        </is>
      </c>
      <c r="P2013" s="124" t="inlineStr">
        <is>
          <t>cloudctl-source/artifacts/tasks/P09-unknown/xianyu-maintenance-20260916/semantic-gate-build-evidence.md</t>
        </is>
      </c>
    </row>
    <row r="2014" ht="150" customHeight="1">
      <c r="A2014" s="124" t="inlineStr">
        <is>
          <t>R20260916-P09-11</t>
        </is>
      </c>
      <c r="B2014" s="124" t="inlineStr">
        <is>
          <t>P09</t>
        </is>
      </c>
      <c r="C2014" s="124" t="inlineStr">
        <is>
          <t>首尔v2删除语义协议独立release部署</t>
        </is>
      </c>
      <c r="D2014" s="124" t="inlineStr">
        <is>
          <t>W0总控</t>
        </is>
      </c>
      <c r="E2014" s="124" t="inlineStr">
        <is>
          <t>独立release+远端定向测试+systemd切换</t>
        </is>
      </c>
      <c r="F2014" s="124" t="inlineStr">
        <is>
          <t>2026-09-16</t>
        </is>
      </c>
      <c r="G2014" s="124" t="inlineStr">
        <is>
          <t>2026-09-16</t>
        </is>
      </c>
      <c r="H2014" s="124" t="n"/>
      <c r="I2014" s="124" t="n"/>
      <c r="J2014" s="124" t="n"/>
      <c r="K2014" s="124" t="n"/>
      <c r="L2014" s="124" t="inlineStr">
        <is>
          <t>0</t>
        </is>
      </c>
      <c r="M2014" s="124" t="n"/>
      <c r="N2014" s="124" t="inlineStr">
        <is>
          <t>模块通过+部署通过：新release p09-semantic-48005da-20260916；远端维护测试53项全绿；mobile_actions/xianyu_maintenance哈希与本地一致；cloudctl-mobile-api active，WorkingDirectory指向新release，OpenAPI 151 paths；旧maint-v2-c13aad8保留可回滚</t>
        </is>
      </c>
      <c r="O2014" s="124" t="inlineStr">
        <is>
          <t>无专用health路由，以/openapi.json及systemd active为部署健康证据</t>
        </is>
      </c>
      <c r="P2014" s="124" t="inlineStr">
        <is>
          <t>cloudctl-source/artifacts/tasks/P09-unknown/xianyu-maintenance-20260916/semantic-gate-build-evidence.md</t>
        </is>
      </c>
    </row>
    <row r="2015" ht="150" customHeight="1">
      <c r="A2015" s="124" t="inlineStr">
        <is>
          <t>R20260916-P09-12</t>
        </is>
      </c>
      <c r="B2015" s="124" t="inlineStr">
        <is>
          <t>P09</t>
        </is>
      </c>
      <c r="C2015" s="124" t="inlineStr">
        <is>
          <t>OnePlus新APK安装与源码/构建/安装/运行身份核验</t>
        </is>
      </c>
      <c r="D2015" s="124" t="inlineStr">
        <is>
          <t>W0总控</t>
        </is>
      </c>
      <c r="E2015" s="124" t="inlineStr">
        <is>
          <t>DEVICE锁串行安装+只读身份核验</t>
        </is>
      </c>
      <c r="F2015" s="124" t="inlineStr">
        <is>
          <t>2026-09-16</t>
        </is>
      </c>
      <c r="G2015" s="124" t="inlineStr">
        <is>
          <t>2026-09-16</t>
        </is>
      </c>
      <c r="H2015" s="124" t="n"/>
      <c r="I2015" s="124" t="n"/>
      <c r="J2015" s="124" t="n"/>
      <c r="K2015" s="124" t="n"/>
      <c r="L2015" s="124" t="inlineStr">
        <is>
          <t>0</t>
        </is>
      </c>
      <c r="M2015" s="124" t="n"/>
      <c r="N2015" s="124" t="inlineStr">
        <is>
          <t>模块通过+安装通过：唯一设备b0644fb5；adb install -r成功且未force-stop；本地与installed APK SHA256均为c6353cdd…c15f7；无障碍enabled+bound；新PID5684日志ACCESSIBILITY_CONNECTED generation=1 revision=48005da-dirty；心跳恢复</t>
        </is>
      </c>
      <c r="O2015" s="124" t="inlineStr">
        <is>
          <t>尚未执行目标定位/确认/删除</t>
        </is>
      </c>
      <c r="P2015" s="124" t="inlineStr">
        <is>
          <t>cloudctl-source/artifacts/tasks/P09-unknown/xianyu-maintenance-20260916/install-identity/README.md</t>
        </is>
      </c>
    </row>
    <row r="2016" ht="150" customHeight="1">
      <c r="A2016" s="124" t="inlineStr">
        <is>
          <t>R20260916-P09-13</t>
        </is>
      </c>
      <c r="B2016" s="124" t="inlineStr">
        <is>
          <t>P09</t>
        </is>
      </c>
      <c r="C2016" s="124" t="inlineStr">
        <is>
          <t>删除前真机只读预检：唯一卡片+弹窗三元守卫+取消闭环</t>
        </is>
      </c>
      <c r="D2016" s="124" t="inlineStr">
        <is>
          <t>W0总控</t>
        </is>
      </c>
      <c r="E2016" s="124" t="inlineStr">
        <is>
          <t>DEVICE锁串行只读预检</t>
        </is>
      </c>
      <c r="F2016" s="124" t="inlineStr">
        <is>
          <t>2026-09-16</t>
        </is>
      </c>
      <c r="G2016" s="124" t="inlineStr">
        <is>
          <t>2026-09-16</t>
        </is>
      </c>
      <c r="H2016" s="124" t="n"/>
      <c r="I2016" s="124" t="n"/>
      <c r="J2016" s="124" t="n"/>
      <c r="K2016" s="124" t="n"/>
      <c r="L2016" s="124" t="inlineStr">
        <is>
          <t>0</t>
        </is>
      </c>
      <c r="M2016" s="124" t="n"/>
      <c r="N2016" s="124" t="inlineStr">
        <is>
          <t>模块通过+真机预检通过：b0644fb5已下架列表目标标题前后均唯一1次；目标卡片[0,345][1080,764]，整列表包装[0,345][1080,2337]被防误选规则排除；详情标题正确；弹窗标题/取消/确定结构唯一且位置合法；仅点击取消(310,1364)，目标仍存在；未建任务/未建intent/未删除</t>
        </is>
      </c>
      <c r="O2016" s="124" t="inlineStr">
        <is>
          <t>下一步为已授权单次GATED删除；签发前须确认无活跃/不确定任务</t>
        </is>
      </c>
      <c r="P2016" s="124" t="inlineStr">
        <is>
          <t>cloudctl-source/artifacts/tasks/P09-unknown/xianyu-maintenance-20260916/readonly-preflight/README.md</t>
        </is>
      </c>
    </row>
    <row r="2017" ht="150" customHeight="1">
      <c r="A2017" s="124" t="inlineStr">
        <is>
          <t>R20260916-P09-14</t>
        </is>
      </c>
      <c r="B2017" s="124" t="inlineStr">
        <is>
          <t>P09</t>
        </is>
      </c>
      <c r="C2017" s="124" t="inlineStr">
        <is>
          <t>已授权单商品GATED删除：一次确认后UNKNOWN/KEEP_WAITING</t>
        </is>
      </c>
      <c r="D2017" s="124" t="inlineStr">
        <is>
          <t>W0总控</t>
        </is>
      </c>
      <c r="E2017" s="124" t="inlineStr">
        <is>
          <t>单次任务+一次受控确认+人工延迟复核</t>
        </is>
      </c>
      <c r="F2017" s="124" t="inlineStr">
        <is>
          <t>2026-09-16</t>
        </is>
      </c>
      <c r="G2017" s="124" t="inlineStr">
        <is>
          <t>2026-09-16</t>
        </is>
      </c>
      <c r="H2017" s="124" t="n"/>
      <c r="I2017" s="124" t="n"/>
      <c r="J2017" s="124" t="n"/>
      <c r="K2017" s="124" t="n"/>
      <c r="L2017" s="124" t="inlineStr">
        <is>
          <t>0</t>
        </is>
      </c>
      <c r="M2017" s="124" t="n"/>
      <c r="N2017" s="124" t="inlineStr">
        <is>
          <t>未通过真实删除验收，但安全门禁符合：仅签发1个delete-v2 task a25549e5；唯一actionKey 061e9532…，ledger仅1行actionId=confirm-delete，状态UNKNOWN；任务RECONCILING；无重放/无重试/无fallback。人工返回已下架列表并刷新等待8秒，目标“如果历史是一群喵4”仍唯一存在，已裁决KEEP_WAITING</t>
        </is>
      </c>
      <c r="O2017" s="124" t="inlineStr">
        <is>
          <t>确认手势已发生但平台删除未证实且目标仍在；严禁重试，须基于证据分析tapOnce实际落点/窗口变化后再由用户决定新授权</t>
        </is>
      </c>
      <c r="P2017" s="124" t="inlineStr">
        <is>
          <t>cloudctl-source/artifacts/tasks/P09-unknown/xianyu-maintenance-20260916/final-delete/README.md</t>
        </is>
      </c>
    </row>
    <row r="2018" ht="150" customHeight="1">
      <c r="A2018" s="124" t="inlineStr">
        <is>
          <t>R20260916-P09-15</t>
        </is>
      </c>
      <c r="B2018" s="124" t="inlineStr">
        <is>
          <t>P09</t>
        </is>
      </c>
      <c r="C2018" s="124" t="inlineStr">
        <is>
          <t>权威进度表最终审计与视觉验收</t>
        </is>
      </c>
      <c r="D2018" s="124" t="inlineStr">
        <is>
          <t>W0总控</t>
        </is>
      </c>
      <c r="E2018" s="124" t="inlineStr">
        <is>
          <t>openpyxl审计+Quick Look/Chrome本地视觉兜底</t>
        </is>
      </c>
      <c r="F2018" s="124" t="inlineStr">
        <is>
          <t>2026-09-16</t>
        </is>
      </c>
      <c r="G2018" s="124" t="inlineStr">
        <is>
          <t>2026-09-16</t>
        </is>
      </c>
      <c r="H2018" s="124" t="n"/>
      <c r="I2018" s="124" t="n"/>
      <c r="J2018" s="124" t="n"/>
      <c r="K2018" s="124" t="n"/>
      <c r="L2018" s="124" t="inlineStr">
        <is>
          <t>0</t>
        </is>
      </c>
      <c r="M2018" s="124" t="n"/>
      <c r="N2018" s="124" t="inlineStr">
        <is>
          <t>模块通过：09新增记录全部启用换行与150pt行高；372个公式零错误/零零值异常/零隐式数组；158个09引用公式均延长至最新行；00/01/09/10渲染无文本重叠，P09保持进行中/模块通过，UNKNOWN/KEEP_WAITING未虚标验收通过</t>
        </is>
      </c>
      <c r="O2018" s="124" t="inlineStr">
        <is>
          <t>视觉judge代理EPIPE不可用，按协议采用本地渲染兜底；结构validator仍仅报既有6个=1常量公式</t>
        </is>
      </c>
      <c r="P2018" s="124" t="inlineStr">
        <is>
          <t>cloudctl-source/artifacts/tasks/P09-unknown/xianyu-maintenance-20260916/final-delete/README.md</t>
        </is>
      </c>
    </row>
    <row r="2019" ht="150" customHeight="1">
      <c r="A2019" s="124" t="inlineStr">
        <is>
          <t>R20260916-P09-16</t>
        </is>
      </c>
      <c r="B2019" s="124" t="inlineStr">
        <is>
          <t>P09</t>
        </is>
      </c>
      <c r="C2019" s="124" t="inlineStr">
        <is>
          <t>UNKNOWN只读根因审阅与提交屏障修复</t>
        </is>
      </c>
      <c r="D2019" s="124" t="inlineStr">
        <is>
          <t>W0总控+2路Explore审阅</t>
        </is>
      </c>
      <c r="E2019" s="124" t="inlineStr">
        <is>
          <t>现场证据法证审阅+静态调用链审计+Android JVM回归</t>
        </is>
      </c>
      <c r="F2019" s="124" t="inlineStr">
        <is>
          <t>2026-09-16</t>
        </is>
      </c>
      <c r="G2019" s="124" t="inlineStr">
        <is>
          <t>2026-09-16</t>
        </is>
      </c>
      <c r="H2019" s="124" t="n"/>
      <c r="I2019" s="124" t="n"/>
      <c r="J2019" s="124" t="n"/>
      <c r="K2019" s="124" t="n"/>
      <c r="L2019" s="124" t="inlineStr">
        <is>
          <t>0</t>
        </is>
      </c>
      <c r="M2019" s="124" t="n"/>
      <c r="N2019" s="124" t="inlineStr">
        <is>
          <t>模块通过：确认生产证据不足以证明删除生效或最终确认落点；修复语义删除门禁UNKNOWN后仍继续后续步骤的误报，改为提交屏障。定向门禁测试及Android全量55套件/380测试通过，零失败/错误/跳过；未连接设备、未写API、未改旧任务/ledger</t>
        </is>
      </c>
      <c r="O2019" s="124" t="inlineStr">
        <is>
          <t>现有任务继续KEEP_WAITING且严禁重试；窗口身份/边界从解析到dispatchGesture存在TOCTOU风险，但不是本事故已证实根因；下一步仅做代码级活动窗口绑定、即时重检和手势可观测性加固</t>
        </is>
      </c>
      <c r="P2019" s="124" t="inlineStr">
        <is>
          <t>cloudctl-source/artifacts/tasks/P09-unknown/xianyu-maintenance-20260916/unknown-root-cause-review.md</t>
        </is>
      </c>
    </row>
    <row r="2020" ht="150" customHeight="1">
      <c r="A2020" s="124" t="inlineStr">
        <is>
          <t>R20260916-P09-17</t>
        </is>
      </c>
      <c r="B2020" s="124" t="inlineStr">
        <is>
          <t>P09</t>
        </is>
      </c>
      <c r="C2020" s="124" t="inlineStr">
        <is>
          <t>单次确认活动窗口重检与手势可观测性加固</t>
        </is>
      </c>
      <c r="D2020" s="124" t="inlineStr">
        <is>
          <t>W0总控+独立对抗审阅</t>
        </is>
      </c>
      <c r="E2020" s="124" t="inlineStr">
        <is>
          <t>纯Kotlin竞态决策器+主线程三快照校验+单投递边界+全量JVM回归</t>
        </is>
      </c>
      <c r="F2020" s="124" t="inlineStr">
        <is>
          <t>2026-09-16</t>
        </is>
      </c>
      <c r="G2020" s="124" t="inlineStr">
        <is>
          <t>2026-09-16</t>
        </is>
      </c>
      <c r="H2020" s="124" t="n"/>
      <c r="I2020" s="124" t="n"/>
      <c r="J2020" s="124" t="n"/>
      <c r="K2020" s="124" t="n"/>
      <c r="L2020" s="124" t="inlineStr">
        <is>
          <t>0</t>
        </is>
      </c>
      <c r="M2020" s="124" t="n"/>
      <c r="N2020" s="124" t="inlineStr">
        <is>
          <t>模块通过：语义删除UNKNOWN在STEP_SUCCEEDED前停止；活动窗口在刷新前/后/dispatch runnable内三次核对package/windowId/结构/边界；取消在最终校验前后双检；dispatchGesture最多一次且无fallback/retry；关联日志记录落点、接受与回调。Android 57套件/392测试全通过，独立复核无高/中危项</t>
        </is>
      </c>
      <c r="O2020" s="124" t="inlineStr">
        <is>
          <t>仅源码/单测完成，未构建/安装/部署/连设备/写API；Android无法原子冻结外部窗口，末次校验到屏幕坐标投递仍有不可消除的系统级极窄竞态；旧UNKNOWN继续KEEP_WAITING且严禁重试</t>
        </is>
      </c>
      <c r="P2020" s="124" t="inlineStr">
        <is>
          <t>cloudctl-source/artifacts/tasks/P09-unknown/xianyu-maintenance-20260916/single-shot-hardening-evidence.md</t>
        </is>
      </c>
    </row>
    <row r="2021" ht="150" customHeight="1">
      <c r="A2021" s="124" t="inlineStr">
        <is>
          <t>R20260916-P09-18</t>
        </is>
      </c>
      <c r="B2021" s="124" t="inlineStr">
        <is>
          <t>P09</t>
        </is>
      </c>
      <c r="C2021" s="124" t="inlineStr">
        <is>
          <t>claim后无障碍断开安全释放协议冻结</t>
        </is>
      </c>
      <c r="D2021" s="124" t="inlineStr">
        <is>
          <t>W0总控+2路Explore审计</t>
        </is>
      </c>
      <c r="E2021" s="124" t="inlineStr">
        <is>
          <t>Android生命周期审计+后端lease/action journal契约审计</t>
        </is>
      </c>
      <c r="F2021" s="124" t="inlineStr">
        <is>
          <t>2026-09-16</t>
        </is>
      </c>
      <c r="G2021" s="124" t="inlineStr">
        <is>
          <t>2026-09-16</t>
        </is>
      </c>
      <c r="H2021" s="124" t="n"/>
      <c r="I2021" s="124" t="n"/>
      <c r="J2021" s="124" t="n"/>
      <c r="K2021" s="124" t="n"/>
      <c r="L2021" s="124" t="inlineStr">
        <is>
          <t>0</t>
        </is>
      </c>
      <c r="M2021" s="124" t="n"/>
      <c r="N2021" s="124" t="inlineStr">
        <is>
          <t>模块通过：冻结最小协议为仅服务端CLAIMED/PREFLIGHT且首次task heartbeat前允许按当前lease释放回QUEUED；heartbeat成功即RUNNING执行边界，之后禁止自动回队。错误/过期lease、RUNNING、RECONCILING、任意action row或legacy commitIntent全部拒绝；设备heartbeat仅为遥测不触发状态变化</t>
        </is>
      </c>
      <c r="O2021" s="124" t="inlineStr">
        <is>
          <t>下一步后端/Android分域实现并补并发与断开测试；release失败时客户端不得本地重排或继续执行；旧task a25549e5仅作禁止重试反例，不做任何状态操作</t>
        </is>
      </c>
      <c r="P2021" s="124" t="inlineStr">
        <is>
          <t>cloudctl-source/artifacts/tasks/P09-unknown/xianyu-maintenance-20260916/single-shot-hardening-evidence.md</t>
        </is>
      </c>
    </row>
    <row r="2022" ht="150" customHeight="1">
      <c r="A2022" s="124" t="inlineStr">
        <is>
          <t>R20260916-P09-19</t>
        </is>
      </c>
      <c r="B2022" s="124" t="inlineStr">
        <is>
          <t>P09</t>
        </is>
      </c>
      <c r="C2022" s="124" t="inlineStr">
        <is>
          <t>claim后无障碍断开安全释放协议实现与对抗审阅闭环</t>
        </is>
      </c>
      <c r="D2022" s="124" t="inlineStr">
        <is>
          <t>W0总控+后端子代理+独立对抗审阅</t>
        </is>
      </c>
      <c r="E2022" s="124" t="inlineStr">
        <is>
          <t>后端release端点+Android coordinator/store/边界实现+两轮对抗审阅修复</t>
        </is>
      </c>
      <c r="F2022" s="124" t="inlineStr">
        <is>
          <t>2026-09-16</t>
        </is>
      </c>
      <c r="G2022" s="124" t="inlineStr">
        <is>
          <t>2026-09-16</t>
        </is>
      </c>
      <c r="H2022" s="124" t="n"/>
      <c r="I2022" s="124" t="n"/>
      <c r="J2022" s="124" t="n"/>
      <c r="K2022" s="124" t="n"/>
      <c r="L2022" s="124" t="inlineStr">
        <is>
          <t>0</t>
        </is>
      </c>
      <c r="M2022" s="124" t="n"/>
      <c r="N2022" s="124" t="inlineStr">
        <is>
          <t>模块通过：仅CLAIMED/PREFLIGHT且首次heartbeat前允许按当前lease释放回QUEUED；RUNNING/RECONCILING/任意action row/legacy intent/错误过期lease全部409。首轮审阅发现B1阻断行永久卡死与B2无限churn两个阻断缺陷，已用5分钟退役+claim前就绪门修复并经二审确认闭环。Android 60套件409测试、后端44测试全通过</t>
        </is>
      </c>
      <c r="O2022" s="124" t="inlineStr">
        <is>
          <t>仅源码/单测完成，未构建/部署/连设备/写生产API；接受后果：断连超5分钟的阻断任务在重投递时终判FAILED、极端双超时心跳仍会fence后经重投递或退役恢复；旧UNKNOWN任务未触碰</t>
        </is>
      </c>
      <c r="P2022" s="124" t="inlineStr">
        <is>
          <t>cloudctl-source/artifacts/tasks/P09-unknown/xianyu-maintenance-20260916/release-protocol-evidence.md</t>
        </is>
      </c>
    </row>
    <row r="2023">
      <c r="A2023" t="inlineStr">
        <is>
          <t>R20260916-P09-20</t>
        </is>
      </c>
      <c r="B2023" t="inlineStr">
        <is>
          <t>P09 P41 P42</t>
        </is>
      </c>
      <c r="C2023" t="inlineStr">
        <is>
          <t>W-A/W-B并行+首尔部署+slice2真机验收+第3次删除挂起</t>
        </is>
      </c>
      <c r="D2023" t="inlineStr">
        <is>
          <t>两线合并(错卡双防线+slice2多屏执行器,Android 427/0)；首尔升级81e24ec；slice2多屏采集真机验收PASSED(run 9135e84c)；第3次授权删除安全失败CARD_BOUNDS_UNVERIFIED(零副作用)用户挂起转问题清单(delete-automation-issue-handoff.md)</t>
        </is>
      </c>
      <c r="E2023" t="inlineStr">
        <is>
          <t>cloudctl-source @ce074df；artifacts/tasks/P41-P42-orders/orders-slice2-20260916/；P09-unknown/xianyu-maintenance-20260916/</t>
        </is>
      </c>
    </row>
    <row r="2024">
      <c r="A2024" t="inlineStr">
        <is>
          <t>R20260916-P09-21</t>
        </is>
      </c>
      <c r="B2024" t="inlineStr">
        <is>
          <t>P14 P41 P42</t>
        </is>
      </c>
      <c r="C2024" t="inlineStr">
        <is>
          <t>K02/K03/K05三契约冻结+A03/A04双线落地+首尔部署(迁移0022)</t>
        </is>
      </c>
      <c r="D2024" t="inlineStr">
        <is>
          <t>三契约冻结(7+4项裁决全按建议)；W-C/W-D并行交付合并(后端681/1)；operation_id迁移上生产(备份先行)；首尔3ce33ba:152端点公网200</t>
        </is>
      </c>
      <c r="E2024" t="inlineStr">
        <is>
          <t>cloudctl-source @3ce33ba；contracts/parallel/；artifacts/tasks/phase1/</t>
        </is>
      </c>
    </row>
    <row r="2025">
      <c r="A2025" t="inlineStr">
        <is>
          <t>R20260916-P09-22</t>
        </is>
      </c>
      <c r="B2025" t="inlineStr">
        <is>
          <t>P14</t>
        </is>
      </c>
      <c r="C2025" t="inlineStr">
        <is>
          <t>A05/B05发布链落地+首尔部署(子代理三次API故障,主会话接管)</t>
        </is>
      </c>
      <c r="D2025" t="inlineStr">
        <is>
          <t>A05稳定publishTargetId+校验矩阵+open-only身份(702/1);B05 publish-2 open-only图+valueRef绑定+有序选图(433/0);K05勘误媒体49;首尔publish-29f19dd公网200</t>
        </is>
      </c>
      <c r="E2025" t="inlineStr">
        <is>
          <t>cloudctl-source @29f19dd；artifacts/tasks/phase1/</t>
        </is>
      </c>
    </row>
    <row r="2026">
      <c r="A2026" t="inlineStr">
        <is>
          <t>R20260916-P09-23</t>
        </is>
      </c>
      <c r="B2026" t="inlineStr">
        <is>
          <t>P09 P14</t>
        </is>
      </c>
      <c r="C2026" t="inlineStr">
        <is>
          <t>Q02套件(42绿+2真机桩)+A09目录(31动作)落地+首尔a09-b226105</t>
        </is>
      </c>
      <c r="D2026" t="inlineStr">
        <is>
          <t>A09:31动作46定义result_type各异716/1;Q02:A类42全绿,B类发现cardIndex:0真实商品风险已暂停待裁决;首尔公网200</t>
        </is>
      </c>
      <c r="E2026" t="inlineStr">
        <is>
          <t>cloudctl-source @b226105；tests/parallel_acceptance/q02/；artifacts/tasks/phase1/a09-operation-catalog/</t>
        </is>
      </c>
    </row>
    <row r="2027">
      <c r="A2027" s="125" t="inlineStr">
        <is>
          <t>R20260916-P09-24</t>
        </is>
      </c>
      <c r="B2027" s="125" t="inlineStr">
        <is>
          <t>P14</t>
        </is>
      </c>
      <c r="C2027" s="125" t="inlineStr">
        <is>
          <t>Q03真实发布验收(open-only v1.1.1)+4真bug修复</t>
        </is>
      </c>
      <c r="D2027" s="125" t="inlineStr">
        <is>
          <t>Q03通过：任务24c923bb全图12态SUCCEEDED→PAUSED_WAITING_USER确认点→操作员填价9.90+点发布→在卖187(+1)「云控平台验收测试服务¥9.9」在线验证；修：图v1.1.1(补裁剪页完成步/去价格态/加菜单settled等待)、终态checkpoint可持久化(resume bug)、auto_publish默认翻False(双产线隐患)、wait轮询容忍无障碍瞬断；发现并绕过：SET_TEXT幻影→须CloudCtl Input为当前输入法、部署venv editable指向陷阱、PAUSED任务卡队列(遗留问题清单)、force-stop致无障碍禁用(重启用设置搜索路径)</t>
        </is>
      </c>
      <c r="E2027" s="125" t="inlineStr">
        <is>
          <t>cloudctl-source @d4206bb；artifacts/parallel/W5/Q03/run7-24c923bb/</t>
        </is>
      </c>
      <c r="F2027" s="125" t="inlineStr"/>
    </row>
  </sheetData>
  <autoFilter ref="A5:P2005"/>
  <mergeCells count="2">
    <mergeCell ref="A1:P1"/>
    <mergeCell ref="A2:P3"/>
  </mergeCells>
  <dataValidations count="9">
    <dataValidation sqref="B6:B2005" showDropDown="0" showInputMessage="0" showErrorMessage="1" allowBlank="1" errorTitle="请选择列表中的值" error="填写预设状态，具体原因写证据/说明。" type="list">
      <formula1>"P00,P01,P02,P03,P04,P05,P06,P07,P08,P09,P10,P11,P12,P13,P14,P15,P16,P17,P18,P19,P20,P21,P22,P23,P24,P25,P26,P27,P28,P29,P30,P31,P32,P33,P34,P35,P36,P37,P38,P39,P40,P41,P42,P43,P44,P45,P46,P47,P48,P49"</formula1>
    </dataValidation>
    <dataValidation sqref="E6:E2005" showDropDown="0" showInputMessage="0" showErrorMessage="1" allowBlank="1" errorTitle="请选择列表中的值" error="填写预设状态，具体原因写证据/说明。" type="list">
      <formula1>"规划,执行,审阅,诊断"</formula1>
    </dataValidation>
    <dataValidation sqref="N6:N2005" showDropDown="0" showInputMessage="0" showErrorMessage="1" allowBlank="1" errorTitle="请选择列表中的值" error="填写预设状态，具体原因写证据/说明。" type="list">
      <formula1>"检查点通过,模块通过,功能验收通过,需修复,升级诊断,资源阻塞,有进展继续"</formula1>
    </dataValidation>
    <dataValidation sqref="H6:H2005" showDropDown="0" showInputMessage="0" showErrorMessage="1" allowBlank="1" error="填写非负实际数值；未知留空。" type="decimal" operator="greaterThanOrEqual">
      <formula1>0</formula1>
    </dataValidation>
    <dataValidation sqref="I6:I2005" showDropDown="0" showInputMessage="0" showErrorMessage="1" allowBlank="1" error="填写非负实际数值；未知留空。" type="decimal" operator="greaterThanOrEqual">
      <formula1>0</formula1>
    </dataValidation>
    <dataValidation sqref="J6:J2005" showDropDown="0" showInputMessage="0" showErrorMessage="1" allowBlank="1" error="填写非负实际数值；未知留空。" type="decimal" operator="greaterThanOrEqual">
      <formula1>0</formula1>
    </dataValidation>
    <dataValidation sqref="K6:K2005" showDropDown="0" showInputMessage="0" showErrorMessage="1" allowBlank="1" error="填写非负实际数值；未知留空。" type="decimal" operator="greaterThanOrEqual">
      <formula1>0</formula1>
    </dataValidation>
    <dataValidation sqref="L6:L2005" showDropDown="0" showInputMessage="0" showErrorMessage="1" allowBlank="1" error="填写非负实际数值；未知留空。" type="decimal" operator="greaterThanOrEqual">
      <formula1>0</formula1>
    </dataValidation>
    <dataValidation sqref="M6:M2005" showDropDown="0" showInputMessage="0" showErrorMessage="1" allowBlank="1" error="填写非负实际数值；未知留空。" type="decimal" operator="greaterThanOrEqual">
      <formula1>0</formula1>
    </dataValidation>
  </dataValidation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80" customWidth="1" min="2" max="2"/>
    <col width="95" customWidth="1" min="3" max="3"/>
  </cols>
  <sheetData>
    <row r="1" ht="30" customHeight="1">
      <c r="A1" s="87" t="inlineStr">
        <is>
          <t>当前包：P14闲鱼发布链（Q03已验收通过）。下一棒：修companion暂停任务生命周期（服务器cancel不下发→本地PAUSED行永久占队列；重现：platform任务到WAITING_USER后cancel，companion claimNext被hasBlockingHead挡死）。方案提示：heartbeat携带任务终态或resume-terminated语义；注意force-stop会禁无障碍（重启用设置内搜索CloudCtl的路径）；描述输入依赖CloudCtl Input为当前输入法（SET_TEXT是幻影，重渲染即丢）。关键SHA：recipe-xianyu-publish-2 v1.1.1=becbe9d8…；APK 628f19c；首尔release a11-9c53cc7（venv为editable安装，换目录必须改_editable_impl_cloudctl.pth）。</t>
        </is>
      </c>
      <c r="B1" s="1" t="n"/>
      <c r="C1" s="1" t="n"/>
    </row>
    <row r="2" ht="35" customHeight="1">
      <c r="A2" s="88" t="inlineStr">
        <is>
          <t>只为当前包填写；这是交接信息模板，不新增任务流程。高级模型依据当前代码证据填方案，本地模型执行。未核实项明示，不能把表内路径当当前代码事实。</t>
        </is>
      </c>
      <c r="B2" s="1" t="n"/>
      <c r="C2" s="1" t="n"/>
    </row>
    <row r="3" ht="22" customHeight="1">
      <c r="A3" s="1" t="n"/>
      <c r="B3" s="1" t="n"/>
      <c r="C3" s="1" t="n"/>
    </row>
    <row r="4">
      <c r="A4" s="89" t="n"/>
      <c r="B4" s="89" t="n"/>
      <c r="C4" s="89" t="n"/>
    </row>
    <row r="5" ht="34" customHeight="1">
      <c r="A5" s="90" t="inlineStr">
        <is>
          <t>项目</t>
        </is>
      </c>
      <c r="B5" s="90" t="inlineStr">
        <is>
          <t>填写要求</t>
        </is>
      </c>
      <c r="C5" s="90" t="inlineStr">
        <is>
          <t>P14 发布链收尾：修复 companion 暂停任务生命周期（Q02-B 真机场景前置）</t>
        </is>
      </c>
    </row>
    <row r="6" ht="88" customHeight="1">
      <c r="A6" s="91" t="inlineStr">
        <is>
          <t>范围与基准</t>
        </is>
      </c>
      <c r="B6" s="91" t="inlineStr">
        <is>
          <t>P编号、当前检查点、分支/提交、相关代码证据；当前真实状态。</t>
        </is>
      </c>
      <c r="C6" s="91" t="inlineStr">
        <is>
          <t>P14/Q02-B前置；基线 cloudctl-source @d4206bb（recipe v1.1.1 已上真机验收通过）；APK 628f19c 在 b0644fb5；首尔 release a11-9c53cc7。</t>
        </is>
      </c>
    </row>
    <row r="7" ht="88" customHeight="1">
      <c r="A7" s="92" t="inlineStr">
        <is>
          <t>复用证据</t>
        </is>
      </c>
      <c r="B7" s="92" t="inlineStr">
        <is>
          <t>只读取有关文件和直接调用方；记录已通过证据及仍有效的理由。</t>
        </is>
      </c>
      <c r="C7" s="92" t="inlineStr">
        <is>
          <t>复用 artifacts/parallel/W5/Q03/run7-24c923bb/README.md（七次任务全根因链）、CloudCtlAccessibilityService.kt claimNext/hasBlockingHead、CompanionSyncService 心跳 ResumeCommand 通道。</t>
        </is>
      </c>
    </row>
    <row r="8" ht="88" customHeight="1">
      <c r="A8" s="91" t="inlineStr">
        <is>
          <t>依赖接口就绪</t>
        </is>
      </c>
      <c r="B8" s="91" t="inlineStr">
        <is>
          <t>写接口/符号、版本、输入输出fixture、验证命令与预期结果；不能只写Pxx完成。</t>
        </is>
      </c>
      <c r="C8" s="91" t="inlineStr">
        <is>
          <t>方案提示：服务器在 heartbeat 响应中携带已终态(cancel/complete)任务列表，或 claim 204 响应体带终态通知；companion 收到后将本地 task_inbox 对应行置 TERMINAL_CONFIRMED 并记 journal（OPERATOR_RETIRE_SERVER_TERMINAL）。需要新增 pydantic schema 字段+Kotlin 解析，双侧测试。验证命令：pytest tests/integration/test_platform_tasks.py + gradlew testDebugUnitTest。</t>
        </is>
      </c>
    </row>
    <row r="9" ht="88" customHeight="1">
      <c r="A9" s="92" t="inlineStr">
        <is>
          <t>最小改动</t>
        </is>
      </c>
      <c r="B9" s="92" t="inlineStr">
        <is>
          <t>列已核实文件和函数、调用关系、最小修改步骤、共享契约不可擅改项。</t>
        </is>
      </c>
      <c r="C9" s="92" t="inlineStr">
        <is>
          <t>最小改动文件：mobile_service.py(claim/heartbeat 响应)、CompanionSyncService.kt(心跳处理)、AutomationStore.kt(退役方法)；不改共享契约 K02/K03/K05；不动 recipe 图字节。</t>
        </is>
      </c>
    </row>
    <row r="10" ht="88" customHeight="1">
      <c r="A10" s="91" t="inlineStr">
        <is>
          <t>独立完成标准</t>
        </is>
      </c>
      <c r="B10" s="91" t="inlineStr">
        <is>
          <t>列模块契约和相关测试通过条件；达标后模块开发结束。</t>
        </is>
      </c>
      <c r="C10" s="91" t="inlineStr">
        <is>
          <t>达标：真机复现「platform任务到WAITING_USER→服务端cancel→companion 60s内自动退役本地行→队列恢复可认领新任务」并有 journal 证据；软件测试全绿。</t>
        </is>
      </c>
    </row>
    <row r="11" ht="88" customHeight="1">
      <c r="A11" s="92" t="inlineStr">
        <is>
          <t>真实场景与门禁</t>
        </is>
      </c>
      <c r="B11" s="92" t="inlineStr">
        <is>
          <t>列需要的设备/账号/授权、操作步骤、预期结果及证据；区别mock测试。</t>
        </is>
      </c>
      <c r="C11" s="92" t="inlineStr">
        <is>
          <t>设备仅 b0644fb5（严禁 5934418a0821）；禁止 force-stop companion（ColorOS 会禁无障碍；误禁后用设置内搜索 CloudCtl 的路径重开，已跑通）；描述输入须 CloudCtl Input 为当前输入法。</t>
        </is>
      </c>
    </row>
    <row r="12" ht="88" customHeight="1">
      <c r="A12" s="91" t="inlineStr">
        <is>
          <t>执行边界</t>
        </is>
      </c>
      <c r="B12" s="91" t="inlineStr">
        <is>
          <t>一轮交付当前检查点或可定位阻塞；不得扩大成关联包全量开发。</t>
        </is>
      </c>
      <c r="C12" s="91" t="inlineStr">
        <is>
          <t>只修暂停生命周期，不扩多机型/不加新 CommandV1 类型（K05 5处同步另立任务）。</t>
        </is>
      </c>
    </row>
    <row r="13" ht="88" customHeight="1">
      <c r="A13" s="92" t="inlineStr">
        <is>
          <t>升级条件</t>
        </is>
      </c>
      <c r="B13" s="92" t="inlineStr">
        <is>
          <t>同错两轮未解决；共享契约冲突；连续无证据达到I列阈值。</t>
        </is>
      </c>
      <c r="C13" s="92" t="inlineStr">
        <is>
          <t>同错两轮→换思路；仍卡→按专家阶梯最多1次咨询；无障碍反复解绑(约30分钟1次)属已知现象，wait 轮询已容忍。</t>
        </is>
      </c>
    </row>
    <row r="14" ht="88" customHeight="1">
      <c r="A14" s="91" t="inlineStr">
        <is>
          <t>回报格式</t>
        </is>
      </c>
      <c r="B14" s="91" t="inlineStr">
        <is>
          <t>产出/修改与提交/验证证据/剩余与下一步；09只追加一行实测。</t>
        </is>
      </c>
      <c r="C14" s="91" t="inlineStr">
        <is>
          <t>产出/提交/验证证据/下一步；09 追加一行实测；D 在真机复现通过前保持进行中。</t>
        </is>
      </c>
    </row>
    <row r="15" ht="88" customHeight="1">
      <c r="A15" s="92" t="inlineStr">
        <is>
          <t>高级审阅输出</t>
        </is>
      </c>
      <c r="B15" s="92" t="inlineStr">
        <is>
          <t>仅给合并阻断项：位置、复现、证据、违反哪条验收、最小修复；可选项不阻断。</t>
        </is>
      </c>
      <c r="C15" s="92" t="inlineStr">
        <is>
          <t>位置=mobile_service.claim 或 AutomationStore.claimNext；复现=Q03 任务 24c923bb 取消后队列卡死实测；违反=单活跃runner不变量（AGENTS.md）。</t>
        </is>
      </c>
    </row>
  </sheetData>
  <autoFilter ref="A5:C15"/>
  <mergeCells count="2">
    <mergeCell ref="A1:C1"/>
    <mergeCell ref="A2:C3"/>
  </mergeCell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9" customWidth="1" min="3" max="3"/>
    <col width="31" customWidth="1" min="4" max="4"/>
    <col width="33" customWidth="1" min="5" max="5"/>
    <col width="29" customWidth="1" min="6" max="6"/>
    <col width="25" customWidth="1" min="7" max="7"/>
    <col width="36" customWidth="1" min="8" max="8"/>
    <col width="31" customWidth="1" min="9" max="9"/>
    <col width="38" customWidth="1" min="10" max="10"/>
    <col width="46" customWidth="1" min="11" max="11"/>
  </cols>
  <sheetData>
    <row r="1" ht="28" customHeight="1">
      <c r="A1" s="111" t="inlineStr">
        <is>
          <t>11 / 多智能体并行控制台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42" customHeight="1">
      <c r="A2" s="112" t="inlineStr">
        <is>
          <t>开发层：Root + 最多3个隔离写入子智能体。P14三路及集成单机验收已完成；不再WAIT_BASELINE。生产Temporal Worker不是LLM调度器。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13" t="inlineStr">
        <is>
          <t>调度规则</t>
        </is>
      </c>
    </row>
    <row r="5" ht="42" customHeight="1">
      <c r="A5" s="114" t="inlineStr">
        <is>
          <t>编号</t>
        </is>
      </c>
      <c r="B5" s="114" t="inlineStr">
        <is>
          <t>规则</t>
        </is>
      </c>
      <c r="C5" s="114" t="inlineStr">
        <is>
          <t>触发条件</t>
        </is>
      </c>
      <c r="D5" s="114" t="inlineStr">
        <is>
          <t>执行动作</t>
        </is>
      </c>
      <c r="E5" s="114" t="inlineStr">
        <is>
          <t>停止/串行边界</t>
        </is>
      </c>
      <c r="F5" s="114" t="inlineStr">
        <is>
          <t>证据</t>
        </is>
      </c>
    </row>
    <row r="6" ht="42" customHeight="1">
      <c r="A6" s="115" t="inlineStr">
        <is>
          <t>S01</t>
        </is>
      </c>
      <c r="B6" s="115" t="inlineStr">
        <is>
          <t>批量派发</t>
        </is>
      </c>
      <c r="C6" s="115" t="inlineStr">
        <is>
          <t>同轮≥2个READY且写集互斥</t>
        </is>
      </c>
      <c r="D6" s="115" t="inlineStr">
        <is>
          <t>先创建全部子智能体，再wait_all</t>
        </is>
      </c>
      <c r="E6" s="115" t="inlineStr">
        <is>
          <t>禁止spawn一个就await一个</t>
        </is>
      </c>
      <c r="F6" s="115" t="inlineStr">
        <is>
          <t>子任务handle/启动时间</t>
        </is>
      </c>
    </row>
    <row r="7" ht="42" customHeight="1">
      <c r="A7" s="116" t="inlineStr">
        <is>
          <t>S02</t>
        </is>
      </c>
      <c r="B7" s="116" t="inlineStr">
        <is>
          <t>READY</t>
        </is>
      </c>
      <c r="C7" s="116" t="inlineStr">
        <is>
          <t>合同可用+写集互斥+锁空闲+无契约争议+测试已声明</t>
        </is>
      </c>
      <c r="D7" s="116" t="inlineStr">
        <is>
          <t>选最大无冲突集合，最多3个写入项</t>
        </is>
      </c>
      <c r="E7" s="116" t="inlineStr">
        <is>
          <t>INTEG只门禁最终联调</t>
        </is>
      </c>
      <c r="F7" s="116" t="inlineStr">
        <is>
          <t>work item状态</t>
        </is>
      </c>
    </row>
    <row r="8" ht="42" customHeight="1">
      <c r="A8" s="115" t="inlineStr">
        <is>
          <t>S03</t>
        </is>
      </c>
      <c r="B8" s="115" t="inlineStr">
        <is>
          <t>空槽回填</t>
        </is>
      </c>
      <c r="C8" s="115" t="inlineStr">
        <is>
          <t>任一路WAIT_LOCK/WAIT_AUTH/WAIT_HARDWARE</t>
        </is>
      </c>
      <c r="D8" s="115" t="inlineStr">
        <is>
          <t>立即从P08/P16/P40/P48等READY池补位</t>
        </is>
      </c>
      <c r="E8" s="115" t="inlineStr">
        <is>
          <t>P15依赖已解锁；按READY安排，不扩二期</t>
        </is>
      </c>
      <c r="F8" s="115" t="inlineStr">
        <is>
          <t>阻塞与补位ID</t>
        </is>
      </c>
    </row>
    <row r="9" ht="42" customHeight="1">
      <c r="A9" s="116" t="inlineStr">
        <is>
          <t>S04</t>
        </is>
      </c>
      <c r="B9" s="116" t="inlineStr">
        <is>
          <t>工作区隔离</t>
        </is>
      </c>
      <c r="C9" s="116" t="inlineStr">
        <is>
          <t>写入子智能体启动前</t>
        </is>
      </c>
      <c r="D9" s="116" t="inlineStr">
        <is>
          <t>从同一冻结SHA建独立branch/worktree</t>
        </is>
      </c>
      <c r="E9" s="116" t="inlineStr">
        <is>
          <t>当前脏共享目录禁止并发写</t>
        </is>
      </c>
      <c r="F9" s="116" t="inlineStr">
        <is>
          <t>BaselineSHA/BranchSHA</t>
        </is>
      </c>
    </row>
    <row r="10" ht="42" customHeight="1">
      <c r="A10" s="115" t="inlineStr">
        <is>
          <t>S05</t>
        </is>
      </c>
      <c r="B10" s="115" t="inlineStr">
        <is>
          <t>受控合并</t>
        </is>
      </c>
      <c r="C10" s="115" t="inlineStr">
        <is>
          <t>子任务独立测试通过</t>
        </is>
      </c>
      <c r="D10" s="115" t="inlineStr">
        <is>
          <t>合同/Control→Android→Web→统一生成客户端→跨端测试</t>
        </is>
      </c>
      <c r="E10" s="115" t="inlineStr">
        <is>
          <t>语义冲突退回owner</t>
        </is>
      </c>
      <c r="F10" s="115" t="inlineStr">
        <is>
          <t>integration SHA</t>
        </is>
      </c>
    </row>
    <row r="11" ht="42" customHeight="1"/>
    <row r="12" ht="42" customHeight="1"/>
    <row r="13" ht="42" customHeight="1">
      <c r="A13" s="113" t="inlineStr">
        <is>
          <t>独占资源锁</t>
        </is>
      </c>
    </row>
    <row r="14" ht="42" customHeight="1">
      <c r="A14" s="117" t="inlineStr">
        <is>
          <t>锁</t>
        </is>
      </c>
      <c r="B14" s="117" t="inlineStr">
        <is>
          <t>默认持有者</t>
        </is>
      </c>
      <c r="C14" s="117" t="inlineStr">
        <is>
          <t>保护动作</t>
        </is>
      </c>
      <c r="D14" s="117" t="inlineStr">
        <is>
          <t>等待时是否阻塞其他开发</t>
        </is>
      </c>
    </row>
    <row r="15" ht="42" customHeight="1">
      <c r="A15" s="118" t="inlineStr">
        <is>
          <t>CONTRACT:recipe-version</t>
        </is>
      </c>
      <c r="B15" s="118" t="inlineStr">
        <is>
          <t>Root</t>
        </is>
      </c>
      <c r="C15" s="118" t="inlineStr">
        <is>
          <t>共享schema/状态机裁决</t>
        </is>
      </c>
      <c r="D15" s="118" t="inlineStr">
        <is>
          <t>否</t>
        </is>
      </c>
    </row>
    <row r="16" ht="42" customHeight="1">
      <c r="A16" s="116" t="inlineStr">
        <is>
          <t>DB_MIGRATION</t>
        </is>
      </c>
      <c r="B16" s="116" t="inlineStr">
        <is>
          <t>P14-CONTROL，经Root授权</t>
        </is>
      </c>
      <c r="C16" s="116" t="inlineStr">
        <is>
          <t>迁移编号、升降级</t>
        </is>
      </c>
      <c r="D16" s="116" t="inlineStr">
        <is>
          <t>否</t>
        </is>
      </c>
    </row>
    <row r="17" ht="42" customHeight="1">
      <c r="A17" s="118" t="inlineStr">
        <is>
          <t>MERGE:integration</t>
        </is>
      </c>
      <c r="B17" s="118" t="inlineStr">
        <is>
          <t>Root</t>
        </is>
      </c>
      <c r="C17" s="118" t="inlineStr">
        <is>
          <t>集成分支与生成合同</t>
        </is>
      </c>
      <c r="D17" s="118" t="inlineStr">
        <is>
          <t>否</t>
        </is>
      </c>
    </row>
    <row r="18" ht="42" customHeight="1">
      <c r="A18" s="116" t="inlineStr">
        <is>
          <t>DEVICE:b0644fb5</t>
        </is>
      </c>
      <c r="B18" s="116" t="inlineStr">
        <is>
          <t>Root/验收者</t>
        </is>
      </c>
      <c r="C18" s="116" t="inlineStr">
        <is>
          <t>OnePlus安装、claim、暂停/恢复、激活、回退</t>
        </is>
      </c>
      <c r="D18" s="116" t="inlineStr">
        <is>
          <t>否；其他软件任务补位</t>
        </is>
      </c>
    </row>
    <row r="19" ht="42" customHeight="1">
      <c r="A19" s="118" t="inlineStr">
        <is>
          <t>DEPLOY:seoul</t>
        </is>
      </c>
      <c r="B19" s="118" t="inlineStr">
        <is>
          <t>Root/验收者</t>
        </is>
      </c>
      <c r="C19" s="118" t="inlineStr">
        <is>
          <t>首尔部署与重启</t>
        </is>
      </c>
      <c r="D19" s="118" t="inlineStr">
        <is>
          <t>否</t>
        </is>
      </c>
    </row>
    <row r="20" ht="42" customHeight="1">
      <c r="A20" s="116" t="inlineStr">
        <is>
          <t>RELEASE:P14</t>
        </is>
      </c>
      <c r="B20" s="116" t="inlineStr">
        <is>
          <t>用户+Root</t>
        </is>
      </c>
      <c r="C20" s="116" t="inlineStr">
        <is>
          <t>人工发布/撤销/回退Recipe</t>
        </is>
      </c>
      <c r="D20" s="116" t="inlineStr">
        <is>
          <t>否</t>
        </is>
      </c>
    </row>
    <row r="21" ht="42" customHeight="1">
      <c r="A21" s="118" t="inlineStr">
        <is>
          <t>SIDE_EFFECT:G3</t>
        </is>
      </c>
      <c r="B21" s="118" t="inlineStr">
        <is>
          <t>用户+Root</t>
        </is>
      </c>
      <c r="C21" s="118" t="inlineStr">
        <is>
          <t>真实发布、扣费、删除、评价、推广</t>
        </is>
      </c>
      <c r="D21" s="118" t="inlineStr">
        <is>
          <t>否；相关真实动作等待</t>
        </is>
      </c>
    </row>
    <row r="22" ht="42" customHeight="1"/>
    <row r="23" ht="42" customHeight="1"/>
    <row r="24" ht="42" customHeight="1">
      <c r="A24" s="113" t="inlineStr">
        <is>
          <t>P14 当前工作队列</t>
        </is>
      </c>
    </row>
    <row r="25" ht="42" customHeight="1">
      <c r="A25" s="114" t="inlineStr">
        <is>
          <t>WorkItem</t>
        </is>
      </c>
      <c r="B25" s="114" t="inlineStr">
        <is>
          <t>泳道</t>
        </is>
      </c>
      <c r="C25" s="114" t="inlineStr">
        <is>
          <t>状态</t>
        </is>
      </c>
      <c r="D25" s="114" t="inlineStr">
        <is>
          <t>Agent/分支</t>
        </is>
      </c>
      <c r="E25" s="114" t="inlineStr">
        <is>
          <t>owned_paths</t>
        </is>
      </c>
      <c r="F25" s="114" t="inlineStr">
        <is>
          <t>只读输入</t>
        </is>
      </c>
      <c r="G25" s="114" t="inlineStr">
        <is>
          <t>所需锁</t>
        </is>
      </c>
      <c r="H25" s="114" t="inlineStr">
        <is>
          <t>独立交付</t>
        </is>
      </c>
      <c r="I25" s="114" t="inlineStr">
        <is>
          <t>独立验证</t>
        </is>
      </c>
      <c r="J25" s="114" t="inlineStr">
        <is>
          <t>合并/真实验收</t>
        </is>
      </c>
      <c r="K25" s="114" t="inlineStr">
        <is>
          <t>证据目录</t>
        </is>
      </c>
    </row>
    <row r="26" ht="42" customHeight="1">
      <c r="A26" s="119" t="inlineStr">
        <is>
          <t>P14-PREFLIGHT</t>
        </is>
      </c>
      <c r="B26" s="119" t="inlineStr">
        <is>
          <t>ROOT</t>
        </is>
      </c>
      <c r="C26" s="119" t="inlineStr">
        <is>
          <t>COMPLETE</t>
        </is>
      </c>
      <c r="D26" s="119" t="inlineStr">
        <is>
          <t>Root / integration/p14-20260909</t>
        </is>
      </c>
      <c r="E26" s="119" t="inlineStr">
        <is>
          <t>计划、合同裁决、集成基线</t>
        </is>
      </c>
      <c r="F26" s="119" t="inlineStr">
        <is>
          <t>当前git状态与P14证据</t>
        </is>
      </c>
      <c r="G26" s="119" t="inlineStr">
        <is>
          <t>CONTRACT:recipe-version</t>
        </is>
      </c>
      <c r="H26" s="119" t="inlineStr">
        <is>
          <t>审核当前改动；建立可恢复共同SHA；创建3个worktree</t>
        </is>
      </c>
      <c r="I26" s="119" t="inlineStr">
        <is>
          <t>基线文件清单/分支可见性</t>
        </is>
      </c>
      <c r="J26" s="119" t="inlineStr">
        <is>
          <t>完成后同批派发三个子智能体</t>
        </is>
      </c>
      <c r="K26" s="119" t="inlineStr">
        <is>
          <t>artifacts/tasks/P14-multi-agent/PREFLIGHT/</t>
        </is>
      </c>
    </row>
    <row r="27" ht="42" customHeight="1">
      <c r="A27" s="119" t="inlineStr">
        <is>
          <t>P14-WEB-T041</t>
        </is>
      </c>
      <c r="B27" s="119" t="inlineStr">
        <is>
          <t>WEB</t>
        </is>
      </c>
      <c r="C27" s="119" t="inlineStr">
        <is>
          <t>ACCEPTED</t>
        </is>
      </c>
      <c r="D27" s="119" t="inlineStr">
        <is>
          <t>子智能体 / agent/p14-web-t041</t>
        </is>
      </c>
      <c r="E27" s="119" t="inlineStr">
        <is>
          <t>apps/web/**</t>
        </is>
      </c>
      <c r="F27" s="119" t="inlineStr">
        <is>
          <t>冻结API fixture</t>
        </is>
      </c>
      <c r="G27" s="119" t="inlineStr">
        <is>
          <t>无</t>
        </is>
      </c>
      <c r="H27" s="119" t="inlineStr">
        <is>
          <t>人工发布/回退页面、权限与状态展示</t>
        </is>
      </c>
      <c r="I27" s="119" t="inlineStr">
        <is>
          <t>Web unit/typecheck/build</t>
        </is>
      </c>
      <c r="J27" s="119" t="inlineStr">
        <is>
          <t>Root最终验证真实用户点击</t>
        </is>
      </c>
      <c r="K27" s="119" t="inlineStr">
        <is>
          <t>artifacts/tasks/P14-multi-agent/P14-WEB-T041/</t>
        </is>
      </c>
    </row>
    <row r="28" ht="42" customHeight="1">
      <c r="A28" s="119" t="inlineStr">
        <is>
          <t>P14-CONTROL-VERSION</t>
        </is>
      </c>
      <c r="B28" s="119" t="inlineStr">
        <is>
          <t>CONTROL</t>
        </is>
      </c>
      <c r="C28" s="119" t="inlineStr">
        <is>
          <t>ACCEPTED</t>
        </is>
      </c>
      <c r="D28" s="119" t="inlineStr">
        <is>
          <t>子智能体 / agent/p14-api-version-pin</t>
        </is>
      </c>
      <c r="E28" s="119" t="inlineStr">
        <is>
          <t>services/control-api/**；相关后端测试；唯一迁移</t>
        </is>
      </c>
      <c r="F28" s="119" t="inlineStr">
        <is>
          <t>contracts/phase1/**</t>
        </is>
      </c>
      <c r="G28" s="119" t="inlineStr">
        <is>
          <t>CONTRACT；DB_MIGRATION</t>
        </is>
      </c>
      <c r="H28" s="119" t="inlineStr">
        <is>
          <t>claim持久固定版本；单active；旧版授权；显式回退与审计</t>
        </is>
      </c>
      <c r="I28" s="119" t="inlineStr">
        <is>
          <t>迁移升降级/API/claim/并发测试</t>
        </is>
      </c>
      <c r="J28" s="119" t="inlineStr">
        <is>
          <t>合并第一位；输出冻结fixture</t>
        </is>
      </c>
      <c r="K28" s="119" t="inlineStr">
        <is>
          <t>artifacts/tasks/P14-multi-agent/P14-CONTROL-VERSION/</t>
        </is>
      </c>
    </row>
    <row r="29" ht="42" customHeight="1">
      <c r="A29" s="119" t="inlineStr">
        <is>
          <t>P14-ANDROID-LIFECYCLE</t>
        </is>
      </c>
      <c r="B29" s="119" t="inlineStr">
        <is>
          <t>ANDROID</t>
        </is>
      </c>
      <c r="C29" s="119" t="inlineStr">
        <is>
          <t>ACCEPTED</t>
        </is>
      </c>
      <c r="D29" s="119" t="inlineStr">
        <is>
          <t>子智能体 / agent/p14-android-lifecycle</t>
        </is>
      </c>
      <c r="E29" s="119" t="inlineStr">
        <is>
          <t>mobile/companion/**</t>
        </is>
      </c>
      <c r="F29" s="119" t="inlineStr">
        <is>
          <t>冻结Recipe/Command fixture</t>
        </is>
      </c>
      <c r="G29" s="119" t="inlineStr">
        <is>
          <t>无（真机锁由Root持有）</t>
        </is>
      </c>
      <c r="H29" s="119" t="inlineStr">
        <is>
          <t>原子下载验签、空闲激活、版本固定、断点/离线旧版、回退</t>
        </is>
      </c>
      <c r="I29" s="119" t="inlineStr">
        <is>
          <t>Android定向测试/assembleDebug</t>
        </is>
      </c>
      <c r="J29" s="119" t="inlineStr">
        <is>
          <t>合并第二位；不得自行发真机任务</t>
        </is>
      </c>
      <c r="K29" s="119" t="inlineStr">
        <is>
          <t>artifacts/tasks/P14-multi-agent/P14-ANDROID-LIFECYCLE/</t>
        </is>
      </c>
    </row>
    <row r="30" ht="42" customHeight="1">
      <c r="A30" s="118" t="inlineStr">
        <is>
          <t>P14-INTEGRATION-ACCEPTANCE</t>
        </is>
      </c>
      <c r="B30" s="118" t="inlineStr">
        <is>
          <t>INTEGRATION</t>
        </is>
      </c>
      <c r="C30" s="118" t="inlineStr">
        <is>
          <t>ACCEPTED</t>
        </is>
      </c>
      <c r="D30" s="118" t="inlineStr">
        <is>
          <t>Root</t>
        </is>
      </c>
      <c r="E30" s="118" t="inlineStr">
        <is>
          <t>集成分支、生成合同、最终evidence</t>
        </is>
      </c>
      <c r="F30" s="118" t="inlineStr">
        <is>
          <t>三个子分支</t>
        </is>
      </c>
      <c r="G30" s="118" t="inlineStr">
        <is>
          <t>MERGE；RELEASE；DEVICE</t>
        </is>
      </c>
      <c r="H30" s="118" t="inlineStr">
        <is>
          <t>同一SHA跨端通过</t>
        </is>
      </c>
      <c r="I30" s="118" t="inlineStr">
        <is>
          <t>后端+Android+Web全套相关测试</t>
        </is>
      </c>
      <c r="J30" s="118" t="inlineStr">
        <is>
          <t>网页人工发布→签名版本执行→固定/断点/回退/审计</t>
        </is>
      </c>
      <c r="K30" s="118" t="inlineStr">
        <is>
          <t>artifacts/tasks/P14-multi-agent/P14-INTEGRATION-ACCEPTANCE/</t>
        </is>
      </c>
    </row>
    <row r="31" ht="42" customHeight="1"/>
    <row r="32" ht="42" customHeight="1"/>
    <row r="33" ht="42" customHeight="1">
      <c r="A33" s="113" t="inlineStr">
        <is>
          <t>空槽补位池</t>
        </is>
      </c>
    </row>
    <row r="34" ht="42" customHeight="1">
      <c r="A34" s="117" t="inlineStr">
        <is>
          <t>优先级</t>
        </is>
      </c>
      <c r="B34" s="117" t="inlineStr">
        <is>
          <t>候选</t>
        </is>
      </c>
      <c r="C34" s="117" t="inlineStr">
        <is>
          <t>可并行内容</t>
        </is>
      </c>
      <c r="D34" s="117" t="inlineStr">
        <is>
          <t>冲突边界</t>
        </is>
      </c>
      <c r="E34" s="117" t="inlineStr">
        <is>
          <t>状态触发</t>
        </is>
      </c>
    </row>
    <row r="35" ht="42" customHeight="1">
      <c r="A35" s="120" t="n">
        <v>1</v>
      </c>
      <c r="B35" s="120" t="inlineStr">
        <is>
          <t>P08</t>
        </is>
      </c>
      <c r="C35" s="120" t="inlineStr">
        <is>
          <t>同task恢复的软件测试/证据整理</t>
        </is>
      </c>
      <c r="D35" s="120" t="inlineStr">
        <is>
          <t>真机阶段与P14共用DEVICE锁</t>
        </is>
      </c>
      <c r="E35" s="120" t="inlineStr">
        <is>
          <t>P14任一路WAIT_LOCK/WAIT_AUTH</t>
        </is>
      </c>
    </row>
    <row r="36" ht="42" customHeight="1">
      <c r="A36" s="116" t="n">
        <v>2</v>
      </c>
      <c r="B36" s="116" t="inlineStr">
        <is>
          <t>P16</t>
        </is>
      </c>
      <c r="C36" s="116" t="inlineStr">
        <is>
          <t>媒体接口与上传UI按后端/Web拆分</t>
        </is>
      </c>
      <c r="D36" s="116" t="inlineStr">
        <is>
          <t>合同与services.py需单owner</t>
        </is>
      </c>
      <c r="E36" s="116" t="inlineStr">
        <is>
          <t>存在互斥写集和冻结fixture</t>
        </is>
      </c>
    </row>
    <row r="37" ht="42" customHeight="1">
      <c r="A37" s="120" t="n">
        <v>3</v>
      </c>
      <c r="B37" s="120" t="inlineStr">
        <is>
          <t>P40</t>
        </is>
      </c>
      <c r="C37" s="120" t="inlineStr">
        <is>
          <t>违禁词DTO/服务与Web入口</t>
        </is>
      </c>
      <c r="D37" s="120" t="inlineStr">
        <is>
          <t>不静默修改原文，不绕G3</t>
        </is>
      </c>
      <c r="E37" s="120" t="inlineStr">
        <is>
          <t>P14等待构建或设备</t>
        </is>
      </c>
    </row>
    <row r="38" ht="42" customHeight="1">
      <c r="A38" s="116" t="n">
        <v>4</v>
      </c>
      <c r="B38" s="116" t="inlineStr">
        <is>
          <t>P48</t>
        </is>
      </c>
      <c r="C38" s="116" t="inlineStr">
        <is>
          <t>公网/TURN/环境只读探测</t>
        </is>
      </c>
      <c r="D38" s="116" t="inlineStr">
        <is>
          <t>部署/重启需DEPLOY锁</t>
        </is>
      </c>
      <c r="E38" s="116" t="inlineStr">
        <is>
          <t>环境只读通道可用</t>
        </is>
      </c>
    </row>
    <row r="39" ht="42" customHeight="1"/>
  </sheetData>
  <autoFilter ref="A25:K29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2026-09-08T02:44:29Z</dcterms:created>
  <dcterms:modified xmlns:dcterms="http://purl.org/dc/terms/" xmlns:xsi="http://www.w3.org/2001/XMLSchema-instance" xsi:type="dcterms:W3CDTF">2026-09-16T05:49:13Z</dcterms:modified>
</cp:coreProperties>
</file>