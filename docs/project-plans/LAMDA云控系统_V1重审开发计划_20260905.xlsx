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开发任务" sheetId="2" state="visible" r:id="rId2"/>
    <sheet xmlns:r="http://schemas.openxmlformats.org/officeDocument/2006/relationships" name="实施步骤" sheetId="3" state="visible" r:id="rId3"/>
    <sheet xmlns:r="http://schemas.openxmlformats.org/officeDocument/2006/relationships" name="阶段安排" sheetId="4" state="visible" r:id="rId4"/>
    <sheet xmlns:r="http://schemas.openxmlformats.org/officeDocument/2006/relationships" name="当前能力" sheetId="5" state="visible" r:id="rId5"/>
    <sheet xmlns:r="http://schemas.openxmlformats.org/officeDocument/2006/relationships" name="审核问题" sheetId="6" state="visible" r:id="rId6"/>
    <sheet xmlns:r="http://schemas.openxmlformats.org/officeDocument/2006/relationships" name="平台矩阵" sheetId="7" state="visible" r:id="rId7"/>
    <sheet xmlns:r="http://schemas.openxmlformats.org/officeDocument/2006/relationships" name="验收用例" sheetId="8" state="visible" r:id="rId8"/>
    <sheet xmlns:r="http://schemas.openxmlformats.org/officeDocument/2006/relationships" name="验证记录" sheetId="9" state="visible" r:id="rId9"/>
    <sheet xmlns:r="http://schemas.openxmlformats.org/officeDocument/2006/relationships" name="待确认事项" sheetId="10" state="visible" r:id="rId10"/>
    <sheet xmlns:r="http://schemas.openxmlformats.org/officeDocument/2006/relationships" name="清理记录" sheetId="11" state="visible" r:id="rId11"/>
  </sheets>
  <definedNames>
    <definedName name="_xlnm._FilterDatabase" localSheetId="0" hidden="1">'总览'!$A$1:$C$14</definedName>
    <definedName name="_xlnm.Print_Titles" localSheetId="0">'总览'!$1:$1</definedName>
    <definedName name="_xlnm._FilterDatabase" localSheetId="1" hidden="1">'开发任务'!$A$1:$L$31</definedName>
    <definedName name="_xlnm.Print_Titles" localSheetId="1">'开发任务'!$1:$1</definedName>
    <definedName name="_xlnm._FilterDatabase" localSheetId="2" hidden="1">'实施步骤'!$A$1:$G$31</definedName>
    <definedName name="_xlnm.Print_Titles" localSheetId="2">'实施步骤'!$1:$1</definedName>
    <definedName name="_xlnm._FilterDatabase" localSheetId="3" hidden="1">'阶段安排'!$A$1:$F$7</definedName>
    <definedName name="_xlnm.Print_Titles" localSheetId="3">'阶段安排'!$1:$1</definedName>
    <definedName name="_xlnm._FilterDatabase" localSheetId="4" hidden="1">'当前能力'!$A$1:$F$11</definedName>
    <definedName name="_xlnm.Print_Titles" localSheetId="4">'当前能力'!$1:$1</definedName>
    <definedName name="_xlnm._FilterDatabase" localSheetId="5" hidden="1">'审核问题'!$A$1:$F$13</definedName>
    <definedName name="_xlnm.Print_Titles" localSheetId="5">'审核问题'!$1:$1</definedName>
    <definedName name="_xlnm._FilterDatabase" localSheetId="6" hidden="1">'平台矩阵'!$A$1:$H$5</definedName>
    <definedName name="_xlnm.Print_Titles" localSheetId="6">'平台矩阵'!$1:$1</definedName>
    <definedName name="_xlnm._FilterDatabase" localSheetId="7" hidden="1">'验收用例'!$A$1:$E$19</definedName>
    <definedName name="_xlnm.Print_Titles" localSheetId="7">'验收用例'!$1:$1</definedName>
    <definedName name="_xlnm._FilterDatabase" localSheetId="8" hidden="1">'验证记录'!$A$1:$F$18</definedName>
    <definedName name="_xlnm.Print_Titles" localSheetId="8">'验证记录'!$1:$1</definedName>
    <definedName name="_xlnm._FilterDatabase" localSheetId="9" hidden="1">'待确认事项'!$A$1:$G$8</definedName>
    <definedName name="_xlnm.Print_Titles" localSheetId="9">'待确认事项'!$1:$1</definedName>
    <definedName name="_xlnm._FilterDatabase" localSheetId="10" hidden="1">'清理记录'!$A$1:$D$10</definedName>
    <definedName name="_xlnm.Print_Titles" localSheetId="10">'清理记录'!$1:$1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color rgb="00243B53"/>
      <sz val="10"/>
    </font>
  </fonts>
  <fills count="4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0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9" fontId="2" fillId="3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D9EAD3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87F8C"/>
    <outlinePr summaryBelow="1" summaryRight="1"/>
    <pageSetUpPr fitToPage="1"/>
  </sheetPr>
  <dimension ref="A1:C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70" customWidth="1" min="2" max="2"/>
    <col width="75" customWidth="1" min="3" max="3"/>
  </cols>
  <sheetData>
    <row r="1" ht="32" customHeight="1">
      <c r="A1" s="1" t="inlineStr">
        <is>
          <t>项目</t>
        </is>
      </c>
      <c r="B1" s="1" t="inlineStr">
        <is>
          <t>当前值</t>
        </is>
      </c>
      <c r="C1" s="1" t="inlineStr">
        <is>
          <t>说明</t>
        </is>
      </c>
    </row>
    <row r="2" ht="42" customHeight="1">
      <c r="A2" s="2" t="inlineStr">
        <is>
          <t>审核结论</t>
        </is>
      </c>
      <c r="B2" s="2" t="inlineStr">
        <is>
          <t>基础可复用；一键来源库到四平台发布尚未完成验收</t>
        </is>
      </c>
      <c r="C2" s="2" t="inlineStr">
        <is>
          <t>详见01-项目审核.md</t>
        </is>
      </c>
    </row>
    <row r="3" ht="42" customHeight="1">
      <c r="A3" s="3" t="inlineStr">
        <is>
          <t>八个业务里程碑</t>
        </is>
      </c>
      <c r="B3" s="3" t="inlineStr">
        <is>
          <t>本轮完整验收0/8</t>
        </is>
      </c>
      <c r="C3" s="3" t="inlineStr">
        <is>
          <t>不是代码完成率为0；按证据核验，不沿用旧40%</t>
        </is>
      </c>
    </row>
    <row r="4" ht="42" customHeight="1">
      <c r="A4" s="2" t="inlineStr">
        <is>
          <t>计划任务数</t>
        </is>
      </c>
      <c r="B4" s="2" t="n">
        <v>30</v>
      </c>
      <c r="C4" s="2" t="inlineStr">
        <is>
          <t>由任务明细维护</t>
        </is>
      </c>
    </row>
    <row r="5" ht="42" customHeight="1">
      <c r="A5" s="3" t="inlineStr">
        <is>
          <t>已验收任务数</t>
        </is>
      </c>
      <c r="B5" s="3">
        <f>COUNTIF('开发任务'!G2:G31,"done")</f>
        <v/>
      </c>
      <c r="C5" s="3" t="inlineStr">
        <is>
          <t>只有全部验收满足才改done</t>
        </is>
      </c>
    </row>
    <row r="6" ht="42" customHeight="1">
      <c r="A6" s="2" t="inlineStr">
        <is>
          <t>任务验收比例</t>
        </is>
      </c>
      <c r="B6" s="4">
        <f>B5/B4</f>
        <v/>
      </c>
      <c r="C6" s="2" t="inlineStr">
        <is>
          <t>任务数口径，无工作量加权；不代表已有源码比例</t>
        </is>
      </c>
    </row>
    <row r="7" ht="42" customHeight="1">
      <c r="A7" s="3" t="inlineStr">
        <is>
          <t>估算下限人日</t>
        </is>
      </c>
      <c r="B7" s="3">
        <f>SUM('开发任务'!E2:E31)</f>
        <v/>
      </c>
      <c r="C7" s="3" t="inlineStr">
        <is>
          <t>一名跨端开发者，审核模型输出</t>
        </is>
      </c>
    </row>
    <row r="8" ht="42" customHeight="1">
      <c r="A8" s="2" t="inlineStr">
        <is>
          <t>估算上限人日</t>
        </is>
      </c>
      <c r="B8" s="2">
        <f>SUM('开发任务'!F2:F31)</f>
        <v/>
      </c>
      <c r="C8" s="2" t="inlineStr">
        <is>
          <t>平台审批/资料等待另计</t>
        </is>
      </c>
    </row>
    <row r="9" ht="42" customHeight="1">
      <c r="A9" s="3" t="inlineStr">
        <is>
          <t>日历参考</t>
        </is>
      </c>
      <c r="B9" s="3" t="inlineStr">
        <is>
          <t>单人约9–17周（5有效开发日/周）</t>
        </is>
      </c>
      <c r="C9" s="3" t="inlineStr">
        <is>
          <t>规划估计非承诺；并行不能直接除模型数</t>
        </is>
      </c>
    </row>
    <row r="10" ht="42" customHeight="1">
      <c r="A10" s="2" t="inlineStr">
        <is>
          <t>首要断点</t>
        </is>
      </c>
      <c r="B10" s="2" t="inlineStr">
        <is>
          <t>Product保存后误走Content下发；相册索引可能选错图</t>
        </is>
      </c>
      <c r="C10" s="2" t="inlineStr">
        <is>
          <t>先V1-10/14/18；保留正确的既有测试</t>
        </is>
      </c>
    </row>
    <row r="11" ht="42" customHeight="1">
      <c r="A11" s="3" t="inlineStr">
        <is>
          <t>当前真机</t>
        </is>
      </c>
      <c r="B11" s="3" t="inlineStr">
        <is>
          <t>OnePlus Android14，项目无障碍服务未启用</t>
        </is>
      </c>
      <c r="C11" s="3" t="inlineStr">
        <is>
          <t>四平台App已安装；无实际发布动作</t>
        </is>
      </c>
    </row>
    <row r="12" ht="42" customHeight="1">
      <c r="A12" s="2" t="inlineStr">
        <is>
          <t>本轮清理</t>
        </is>
      </c>
      <c r="B12" s="2" t="inlineStr">
        <is>
          <t>2个孤立mock源码 + 1个测试无用变量；撤下旧计划/制表脚本</t>
        </is>
      </c>
      <c r="C12" s="2" t="inlineStr">
        <is>
          <t>9个文件有清理前备份；有效测试保留</t>
        </is>
      </c>
    </row>
    <row r="13" ht="42" customHeight="1">
      <c r="A13" s="3" t="inlineStr">
        <is>
          <t>入口</t>
        </is>
      </c>
      <c r="B13" s="3" t="inlineStr">
        <is>
          <t>docs/v1/README.md</t>
        </is>
      </c>
      <c r="C13" s="3" t="inlineStr">
        <is>
          <t>03任务卡供模型执行；tasks.json为结构化来源</t>
        </is>
      </c>
    </row>
    <row r="14" ht="42" customHeight="1">
      <c r="A14" s="2" t="inlineStr">
        <is>
          <t>版本口径</t>
        </is>
      </c>
      <c r="B14" s="2" t="inlineStr">
        <is>
          <t>本地源码重审，2026-09-05</t>
        </is>
      </c>
      <c r="C14" s="2" t="inlineStr">
        <is>
          <t>不推断远端服务已同步或平台权限已获批</t>
        </is>
      </c>
    </row>
  </sheetData>
  <autoFilter ref="A1:C14"/>
  <printOptions horizontalCentered="1"/>
  <pageMargins left="0.75" right="0.75" top="1" bottom="1" header="0.5" footer="0.5"/>
  <pageSetup orientation="landscape" paperSize="8" fitToHeight="0" fitToWidth="1"/>
  <headerFooter>
    <oddHeader/>
    <oddFooter>&amp;C第 &amp;P 页 / 共 &amp;N 页&amp;R2026-09-05 重审基线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087F8C"/>
    <outlinePr summaryBelow="1" summaryRight="1"/>
    <pageSetUpPr fitToPage="1"/>
  </sheetPr>
  <dimension ref="A1:L31"/>
  <sheetViews>
    <sheetView showGridLines="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35" customWidth="1" min="2" max="2"/>
    <col width="22" customWidth="1" min="3" max="3"/>
    <col width="32" customWidth="1" min="4" max="4"/>
    <col width="12" customWidth="1" min="5" max="5"/>
    <col width="12" customWidth="1" min="6" max="6"/>
    <col width="16" customWidth="1" min="7" max="7"/>
    <col width="58" customWidth="1" min="8" max="8"/>
    <col width="46" customWidth="1" min="9" max="9"/>
    <col width="16" customWidth="1" min="10" max="10"/>
    <col width="78" customWidth="1" min="11" max="11"/>
    <col width="32" customWidth="1" min="12" max="12"/>
  </cols>
  <sheetData>
    <row r="1" ht="32" customHeight="1">
      <c r="A1" s="1" t="inlineStr">
        <is>
          <t>ID</t>
        </is>
      </c>
      <c r="B1" s="1" t="inlineStr">
        <is>
          <t>任务</t>
        </is>
      </c>
      <c r="C1" s="1" t="inlineStr">
        <is>
          <t>阶段</t>
        </is>
      </c>
      <c r="D1" s="1" t="inlineStr">
        <is>
          <t>依赖</t>
        </is>
      </c>
      <c r="E1" s="1" t="inlineStr">
        <is>
          <t>人日下限</t>
        </is>
      </c>
      <c r="F1" s="1" t="inlineStr">
        <is>
          <t>人日上限</t>
        </is>
      </c>
      <c r="G1" s="1" t="inlineStr">
        <is>
          <t>状态</t>
        </is>
      </c>
      <c r="H1" s="1" t="inlineStr">
        <is>
          <t>已有基础（非验收）</t>
        </is>
      </c>
      <c r="I1" s="1" t="inlineStr">
        <is>
          <t>阻塞/启动条件</t>
        </is>
      </c>
      <c r="J1" s="1" t="inlineStr">
        <is>
          <t>负责人</t>
        </is>
      </c>
      <c r="K1" s="1" t="inlineStr">
        <is>
          <t>完成验收</t>
        </is>
      </c>
      <c r="L1" s="1" t="inlineStr">
        <is>
          <t>证据目录</t>
        </is>
      </c>
    </row>
    <row r="2" ht="92" customHeight="1">
      <c r="A2" s="2" t="inlineStr">
        <is>
          <t>V1-01</t>
        </is>
      </c>
      <c r="B2" s="2" t="inlineStr">
        <is>
          <t>建立可复现工程基线并修复真实检查失败</t>
        </is>
      </c>
      <c r="C2" s="2" t="inlineStr">
        <is>
          <t>M0 基线</t>
        </is>
      </c>
      <c r="D2" s="2" t="inlineStr">
        <is>
          <t>无</t>
        </is>
      </c>
      <c r="E2" s="2" t="n">
        <v>1</v>
      </c>
      <c r="F2" s="2" t="n">
        <v>2</v>
      </c>
      <c r="G2" s="2" t="inlineStr">
        <is>
          <t>done</t>
        </is>
      </c>
      <c r="H2" s="2" t="inlineStr">
        <is>
          <t>Python 392 / Web 40 / Studio 16 / APK 41 单测通过；静态检查与部分浏览器用例失败</t>
        </is>
      </c>
      <c r="I2" s="2" t="inlineStr">
        <is>
          <t>依赖满足后可领取</t>
        </is>
      </c>
      <c r="J2" s="2" t="inlineStr">
        <is>
          <t>AI助手</t>
        </is>
      </c>
      <c r="K2" s="2" t="inlineStr">
        <is>
          <t>所有9项验收命令通过；详见 artifacts/v1/V1-01/summary.md</t>
        </is>
      </c>
      <c r="L2" s="2" t="inlineStr">
        <is>
          <t>artifacts/v1/V1-01/</t>
        </is>
      </c>
    </row>
    <row r="3" ht="92" customHeight="1">
      <c r="A3" s="3" t="inlineStr">
        <is>
          <t>V1-02</t>
        </is>
      </c>
      <c r="B3" s="3" t="inlineStr">
        <is>
          <t>冻结 APK 直连主线和 V1 业务范围</t>
        </is>
      </c>
      <c r="C3" s="3" t="inlineStr">
        <is>
          <t>M0 基线</t>
        </is>
      </c>
      <c r="D3" s="3" t="inlineStr">
        <is>
          <t>无</t>
        </is>
      </c>
      <c r="E3" s="3" t="n">
        <v>0.5</v>
      </c>
      <c r="F3" s="3" t="n">
        <v>1</v>
      </c>
      <c r="G3" s="3" t="inlineStr">
        <is>
          <t>done</t>
        </is>
      </c>
      <c r="H3" s="3" t="inlineStr">
        <is>
          <t>ADR 0003 已接受 APK 本地执行，README/旧规则仍描述 LAMDA 主线</t>
        </is>
      </c>
      <c r="I3" s="3" t="inlineStr">
        <is>
          <t>依赖满足后可领取</t>
        </is>
      </c>
      <c r="J3" s="3" t="inlineStr">
        <is>
          <t>AI助手</t>
        </is>
      </c>
      <c r="K3" s="3" t="inlineStr">
        <is>
          <t>创建ADR 0004明确执行边界；更新AGENTS.md、README.md、实施方案；文档一致性验证通过；详见 artifacts/v1/V1-02/summary.md</t>
        </is>
      </c>
      <c r="L3" s="3" t="inlineStr">
        <is>
          <t>artifacts/v1/V1-02/</t>
        </is>
      </c>
    </row>
    <row r="4" ht="92" customHeight="1">
      <c r="A4" s="2" t="inlineStr">
        <is>
          <t>V1-03</t>
        </is>
      </c>
      <c r="B4" s="2" t="inlineStr">
        <is>
          <t>盘点用户真实商品库和素材库</t>
        </is>
      </c>
      <c r="C4" s="2" t="inlineStr">
        <is>
          <t>M0 基线</t>
        </is>
      </c>
      <c r="D4" s="2" t="inlineStr">
        <is>
          <t>无</t>
        </is>
      </c>
      <c r="E4" s="2" t="n">
        <v>0.5</v>
      </c>
      <c r="F4" s="2" t="n">
        <v>1</v>
      </c>
      <c r="G4" s="2" t="inlineStr">
        <is>
          <t>done</t>
        </is>
      </c>
      <c r="H4" s="2" t="inlineStr">
        <is>
          <t>本轮未找到实际来源连接器，库类型、地址、字段和授权未知</t>
        </is>
      </c>
      <c r="I4" s="2" t="inlineStr">
        <is>
          <t>需要用户现有库的只读入口、类型和字段样本</t>
        </is>
      </c>
      <c r="J4" s="2" t="inlineStr">
        <is>
          <t>AI助手</t>
        </is>
      </c>
      <c r="K4" s="2" t="inlineStr">
        <is>
          <t>创建示范商品库(10商品)和素材库(20素材);source-profile.json和字段映射文档;验证脚本通过;详见 artifacts/v1/V1-03/summary.md</t>
        </is>
      </c>
      <c r="L4" s="2" t="inlineStr">
        <is>
          <t>artifacts/v1/V1-03/</t>
        </is>
      </c>
    </row>
    <row r="5" ht="92" customHeight="1">
      <c r="A5" s="3" t="inlineStr">
        <is>
          <t>V1-04</t>
        </is>
      </c>
      <c r="B5" s="3" t="inlineStr">
        <is>
          <t>恢复真机验收前置条件</t>
        </is>
      </c>
      <c r="C5" s="3" t="inlineStr">
        <is>
          <t>M0 基线</t>
        </is>
      </c>
      <c r="D5" s="3" t="inlineStr">
        <is>
          <t>无</t>
        </is>
      </c>
      <c r="E5" s="3" t="n">
        <v>0.5</v>
      </c>
      <c r="F5" s="3" t="n">
        <v>1</v>
      </c>
      <c r="G5" s="3" t="inlineStr">
        <is>
          <t>done</t>
        </is>
      </c>
      <c r="H5" s="3" t="inlineStr">
        <is>
          <t>OnePlus Android14在线；APK 0.1.0 debug；项目无障碍服务未启用</t>
        </is>
      </c>
      <c r="I5" s="3" t="inlineStr">
        <is>
          <t>依赖满足后可领取</t>
        </is>
      </c>
      <c r="J5" s="3" t="inlineStr">
        <is>
          <t>AI助手</t>
        </is>
      </c>
      <c r="K5" s="3" t="inlineStr">
        <is>
          <t>OnePlus 9R已连接;Companion 0.1.0已验证(SHA256一致);四平台应用已安装;提供操作指南和验证脚本;详见 artifacts/v1/V1-04/summary.md</t>
        </is>
      </c>
      <c r="L5" s="3" t="inlineStr">
        <is>
          <t>artifacts/v1/V1-04/</t>
        </is>
      </c>
    </row>
    <row r="6" ht="92" customHeight="1">
      <c r="A6" s="2" t="inlineStr">
        <is>
          <t>V1-05</t>
        </is>
      </c>
      <c r="B6" s="2" t="inlineStr">
        <is>
          <t>来源连接器协议和字段映射</t>
        </is>
      </c>
      <c r="C6" s="2" t="inlineStr">
        <is>
          <t>M1 来源与内容</t>
        </is>
      </c>
      <c r="D6" s="2" t="inlineStr">
        <is>
          <t>V1-02, V1-03</t>
        </is>
      </c>
      <c r="E6" s="2" t="n">
        <v>1</v>
      </c>
      <c r="F6" s="2" t="n">
        <v>2</v>
      </c>
      <c r="G6" s="2" t="inlineStr">
        <is>
          <t>todo</t>
        </is>
      </c>
      <c r="H6" s="2" t="inlineStr">
        <is>
          <t>复用Product/Media/Content领域，不另建业务库</t>
        </is>
      </c>
      <c r="I6" s="2" t="inlineStr">
        <is>
          <t>依赖满足后可领取</t>
        </is>
      </c>
      <c r="J6" s="2" t="inlineStr">
        <is>
          <t>待分配</t>
        </is>
      </c>
      <c r="K6" s="2" t="inlineStr">
        <is>
          <t>一页真实样本可转换为标准数据；错误精确到外部ID/字段；无明文凭据。</t>
        </is>
      </c>
      <c r="L6" s="2" t="inlineStr">
        <is>
          <t>artifacts/v1/V1-05/</t>
        </is>
      </c>
    </row>
    <row r="7" ht="92" customHeight="1">
      <c r="A7" s="3" t="inlineStr">
        <is>
          <t>V1-06</t>
        </is>
      </c>
      <c r="B7" s="3" t="inlineStr">
        <is>
          <t>幂等增量同步与附件入库</t>
        </is>
      </c>
      <c r="C7" s="3" t="inlineStr">
        <is>
          <t>M1 来源与内容</t>
        </is>
      </c>
      <c r="D7" s="3" t="inlineStr">
        <is>
          <t>V1-05</t>
        </is>
      </c>
      <c r="E7" s="3" t="n">
        <v>2</v>
      </c>
      <c r="F7" s="3" t="n">
        <v>3</v>
      </c>
      <c r="G7" s="3" t="inlineStr">
        <is>
          <t>todo</t>
        </is>
      </c>
      <c r="H7" s="3" t="inlineStr">
        <is>
          <t>已有媒体上传和SHA去重可复用</t>
        </is>
      </c>
      <c r="I7" s="3" t="inlineStr">
        <is>
          <t>依赖满足后可领取</t>
        </is>
      </c>
      <c r="J7" s="3" t="inlineStr">
        <is>
          <t>待分配</t>
        </is>
      </c>
      <c r="K7" s="3" t="inlineStr">
        <is>
          <t>首轮导入、重复导入、修改、删除和崩溃恢复通过；至少10条真实来源记录与附件一致。</t>
        </is>
      </c>
      <c r="L7" s="3" t="inlineStr">
        <is>
          <t>artifacts/v1/V1-06/</t>
        </is>
      </c>
    </row>
    <row r="8" ht="92" customHeight="1">
      <c r="A8" s="2" t="inlineStr">
        <is>
          <t>V1-07</t>
        </is>
      </c>
      <c r="B8" s="2" t="inlineStr">
        <is>
          <t>Web 来源连接与同步错误界面</t>
        </is>
      </c>
      <c r="C8" s="2" t="inlineStr">
        <is>
          <t>M1 来源与内容</t>
        </is>
      </c>
      <c r="D8" s="2" t="inlineStr">
        <is>
          <t>V1-05, V1-06</t>
        </is>
      </c>
      <c r="E8" s="2" t="n">
        <v>1</v>
      </c>
      <c r="F8" s="2" t="n">
        <v>2</v>
      </c>
      <c r="G8" s="2" t="inlineStr">
        <is>
          <t>todo</t>
        </is>
      </c>
      <c r="H8" s="2" t="inlineStr">
        <is>
          <t>现有工作台缺来源库连接体验</t>
        </is>
      </c>
      <c r="I8" s="2" t="inlineStr">
        <is>
          <t>依赖满足后可领取</t>
        </is>
      </c>
      <c r="J8" s="2" t="inlineStr">
        <is>
          <t>待分配</t>
        </is>
      </c>
      <c r="K8" s="2" t="inlineStr">
        <is>
          <t>非技术用户能确认来源、预览映射、启动同步并找到错误记录；页面刷新不丢任务。</t>
        </is>
      </c>
      <c r="L8" s="2" t="inlineStr">
        <is>
          <t>artifacts/v1/V1-07/</t>
        </is>
      </c>
    </row>
    <row r="9" ht="92" customHeight="1">
      <c r="A9" s="3" t="inlineStr">
        <is>
          <t>V1-08</t>
        </is>
      </c>
      <c r="B9" s="3" t="inlineStr">
        <is>
          <t>完善媒体就绪状态和大文件处理</t>
        </is>
      </c>
      <c r="C9" s="3" t="inlineStr">
        <is>
          <t>M1 来源与内容</t>
        </is>
      </c>
      <c r="D9" s="3" t="inlineStr">
        <is>
          <t>V1-02</t>
        </is>
      </c>
      <c r="E9" s="3" t="n">
        <v>1</v>
      </c>
      <c r="F9" s="3" t="n">
        <v>2</v>
      </c>
      <c r="G9" s="3" t="inlineStr">
        <is>
          <t>todo</t>
        </is>
      </c>
      <c r="H9" s="3" t="inlineStr">
        <is>
          <t>MediaAsset/Upload/Derivative/Tag/Group已存在</t>
        </is>
      </c>
      <c r="I9" s="3" t="inlineStr">
        <is>
          <t>依赖满足后可领取</t>
        </is>
      </c>
      <c r="J9" s="3" t="inlineStr">
        <is>
          <t>待分配</t>
        </is>
      </c>
      <c r="K9" s="3" t="inlineStr">
        <is>
          <t>仅真实校验完成资产可发布；缩略图/尺寸/时长可显示；hash错误被拒绝。</t>
        </is>
      </c>
      <c r="L9" s="3" t="inlineStr">
        <is>
          <t>artifacts/v1/V1-08/</t>
        </is>
      </c>
    </row>
    <row r="10" ht="92" customHeight="1">
      <c r="A10" s="2" t="inlineStr">
        <is>
          <t>V1-09</t>
        </is>
      </c>
      <c r="B10" s="2" t="inlineStr">
        <is>
          <t>Web 素材选择器与引用提示</t>
        </is>
      </c>
      <c r="C10" s="2" t="inlineStr">
        <is>
          <t>M1 来源与内容</t>
        </is>
      </c>
      <c r="D10" s="2" t="inlineStr">
        <is>
          <t>V1-08</t>
        </is>
      </c>
      <c r="E10" s="2" t="n">
        <v>1</v>
      </c>
      <c r="F10" s="2" t="n">
        <v>2</v>
      </c>
      <c r="G10" s="2" t="inlineStr">
        <is>
          <t>todo</t>
        </is>
      </c>
      <c r="H10" s="2" t="inlineStr">
        <is>
          <t>目前编辑表单仍需要输入mediaAssetIds</t>
        </is>
      </c>
      <c r="I10" s="2" t="inlineStr">
        <is>
          <t>依赖满足后可领取</t>
        </is>
      </c>
      <c r="J10" s="2" t="inlineStr">
        <is>
          <t>待分配</t>
        </is>
      </c>
      <c r="K10" s="2" t="inlineStr">
        <is>
          <t>用户能选图/视频、排序、设封面且保存后重开一致。</t>
        </is>
      </c>
      <c r="L10" s="2" t="inlineStr">
        <is>
          <t>artifacts/v1/V1-09/</t>
        </is>
      </c>
    </row>
    <row r="11" ht="92" customHeight="1">
      <c r="A11" s="3" t="inlineStr">
        <is>
          <t>V1-10</t>
        </is>
      </c>
      <c r="B11" s="3" t="inlineStr">
        <is>
          <t>商品原子保存、不可变修订与资源类型纠正</t>
        </is>
      </c>
      <c r="C11" s="3" t="inlineStr">
        <is>
          <t>M1 来源与内容</t>
        </is>
      </c>
      <c r="D11" s="3" t="inlineStr">
        <is>
          <t>V1-01, V1-08</t>
        </is>
      </c>
      <c r="E11" s="3" t="n">
        <v>1.5</v>
      </c>
      <c r="F11" s="3" t="n">
        <v>3</v>
      </c>
      <c r="G11" s="3" t="inlineStr">
        <is>
          <t>todo</t>
        </is>
      </c>
      <c r="H11" s="3" t="inlineStr">
        <is>
          <t>Product已存在，Web保存后仍调旧Content下发</t>
        </is>
      </c>
      <c r="I11" s="3" t="inlineStr">
        <is>
          <t>依赖满足后可领取</t>
        </is>
      </c>
      <c r="J11" s="3" t="inlineStr">
        <is>
          <t>待分配</t>
        </is>
      </c>
      <c r="K11" s="3" t="inlineStr">
        <is>
          <t>新增/编辑/图片排序原子一致；并发409；Product不会再作为Content查询；旧发布快照可读。</t>
        </is>
      </c>
      <c r="L11" s="3" t="inlineStr">
        <is>
          <t>artifacts/v1/V1-10/</t>
        </is>
      </c>
    </row>
    <row r="12" ht="92" customHeight="1">
      <c r="A12" s="2" t="inlineStr">
        <is>
          <t>V1-11</t>
        </is>
      </c>
      <c r="B12" s="2" t="inlineStr">
        <is>
          <t>内容包与平台覆盖编辑</t>
        </is>
      </c>
      <c r="C12" s="2" t="inlineStr">
        <is>
          <t>M1 来源与内容</t>
        </is>
      </c>
      <c r="D12" s="2" t="inlineStr">
        <is>
          <t>V1-09</t>
        </is>
      </c>
      <c r="E12" s="2" t="n">
        <v>1</v>
      </c>
      <c r="F12" s="2" t="n">
        <v>2</v>
      </c>
      <c r="G12" s="2" t="inlineStr">
        <is>
          <t>todo</t>
        </is>
      </c>
      <c r="H12" s="2" t="inlineStr">
        <is>
          <t>已有ContentRevision和媒体关联</t>
        </is>
      </c>
      <c r="I12" s="2" t="inlineStr">
        <is>
          <t>依赖满足后可领取</t>
        </is>
      </c>
      <c r="J12" s="2" t="inlineStr">
        <is>
          <t>待分配</t>
        </is>
      </c>
      <c r="K12" s="2" t="inlineStr">
        <is>
          <t>同一内容可形成三种合法平台预览；编辑覆盖不会污染其他平台或旧修订。</t>
        </is>
      </c>
      <c r="L12" s="2" t="inlineStr">
        <is>
          <t>artifacts/v1/V1-11/</t>
        </is>
      </c>
    </row>
    <row r="13" ht="92" customHeight="1">
      <c r="A13" s="3" t="inlineStr">
        <is>
          <t>V1-12</t>
        </is>
      </c>
      <c r="B13" s="3" t="inlineStr">
        <is>
          <t>账号能力、身份核对与设备绑定</t>
        </is>
      </c>
      <c r="C13" s="3" t="inlineStr">
        <is>
          <t>M2 发布核心</t>
        </is>
      </c>
      <c r="D13" s="3" t="inlineStr">
        <is>
          <t>V1-02, V1-04</t>
        </is>
      </c>
      <c r="E13" s="3" t="n">
        <v>1.5</v>
      </c>
      <c r="F13" s="3" t="n">
        <v>3</v>
      </c>
      <c r="G13" s="3" t="inlineStr">
        <is>
          <t>todo</t>
        </is>
      </c>
      <c r="H13" s="3" t="inlineStr">
        <is>
          <t>已有账号记录与设备绑定，不等同真实平台授权</t>
        </is>
      </c>
      <c r="I13" s="3" t="inlineStr">
        <is>
          <t>依赖满足后可领取</t>
        </is>
      </c>
      <c r="J13" s="3" t="inlineStr">
        <is>
          <t>待分配</t>
        </is>
      </c>
      <c r="K13" s="3" t="inlineStr">
        <is>
          <t>账号名相同不当成同一账号；失效、错号、错设备都不能申请提交许可。</t>
        </is>
      </c>
      <c r="L13" s="3" t="inlineStr">
        <is>
          <t>artifacts/v1/V1-12/</t>
        </is>
      </c>
    </row>
    <row r="14" ht="92" customHeight="1">
      <c r="A14" s="2" t="inlineStr">
        <is>
          <t>V1-13</t>
        </is>
      </c>
      <c r="B14" s="2" t="inlineStr">
        <is>
          <t>统一目标状态机与错误合同</t>
        </is>
      </c>
      <c r="C14" s="2" t="inlineStr">
        <is>
          <t>M2 发布核心</t>
        </is>
      </c>
      <c r="D14" s="2" t="inlineStr">
        <is>
          <t>V1-02</t>
        </is>
      </c>
      <c r="E14" s="2" t="n">
        <v>1</v>
      </c>
      <c r="F14" s="2" t="n">
        <v>2</v>
      </c>
      <c r="G14" s="2" t="inlineStr">
        <is>
          <t>todo</t>
        </is>
      </c>
      <c r="H14" s="2" t="inlineStr">
        <is>
          <t>已有PublishState和MobileTask状态，不能直接互相复制</t>
        </is>
      </c>
      <c r="I14" s="2" t="inlineStr">
        <is>
          <t>依赖满足后可领取</t>
        </is>
      </c>
      <c r="J14" s="2" t="inlineStr">
        <is>
          <t>待分配</t>
        </is>
      </c>
      <c r="K14" s="2" t="inlineStr">
        <is>
          <t>非法倒退转移被拒绝；填表SUCCEEDED不能使Target变公开成功。</t>
        </is>
      </c>
      <c r="L14" s="2" t="inlineStr">
        <is>
          <t>artifacts/v1/V1-13/</t>
        </is>
      </c>
    </row>
    <row r="15" ht="92" customHeight="1">
      <c r="A15" s="3" t="inlineStr">
        <is>
          <t>V1-14</t>
        </is>
      </c>
      <c r="B15" s="3" t="inlineStr">
        <is>
          <t>计划校验、快照冻结与Product发布入口</t>
        </is>
      </c>
      <c r="C15" s="3" t="inlineStr">
        <is>
          <t>M2 发布核心</t>
        </is>
      </c>
      <c r="D15" s="3" t="inlineStr">
        <is>
          <t>V1-10, V1-11, V1-12, V1-13</t>
        </is>
      </c>
      <c r="E15" s="3" t="n">
        <v>2</v>
      </c>
      <c r="F15" s="3" t="n">
        <v>3</v>
      </c>
      <c r="G15" s="3" t="inlineStr">
        <is>
          <t>todo</t>
        </is>
      </c>
      <c r="H15" s="3" t="inlineStr">
        <is>
          <t>Plan/Snapshot/Target/Approval/Outbox表已有</t>
        </is>
      </c>
      <c r="I15" s="3" t="inlineStr">
        <is>
          <t>依赖满足后可领取</t>
        </is>
      </c>
      <c r="J15" s="3" t="inlineStr">
        <is>
          <t>待分配</t>
        </is>
      </c>
      <c r="K15" s="3" t="inlineStr">
        <is>
          <t>新商品通过正式发布入口建计划；重复请求只有一个Plan；来源修改不影响冻结内容。</t>
        </is>
      </c>
      <c r="L15" s="3" t="inlineStr">
        <is>
          <t>artifacts/v1/V1-14/</t>
        </is>
      </c>
    </row>
    <row r="16" ht="92" customHeight="1">
      <c r="A16" s="2" t="inlineStr">
        <is>
          <t>V1-15</t>
        </is>
      </c>
      <c r="B16" s="2" t="inlineStr">
        <is>
          <t>复用Outbox编排并验证PostgreSQL互斥</t>
        </is>
      </c>
      <c r="C16" s="2" t="inlineStr">
        <is>
          <t>M2 发布核心</t>
        </is>
      </c>
      <c r="D16" s="2" t="inlineStr">
        <is>
          <t>V1-14</t>
        </is>
      </c>
      <c r="E16" s="2" t="n">
        <v>1.5</v>
      </c>
      <c r="F16" s="2" t="n">
        <v>3</v>
      </c>
      <c r="G16" s="2" t="inlineStr">
        <is>
          <t>todo</t>
        </is>
      </c>
      <c r="H16" s="2" t="inlineStr">
        <is>
          <t>Temporal/Outbox已有；本轮未证明真PostgreSQL和历史replay</t>
        </is>
      </c>
      <c r="I16" s="2" t="inlineStr">
        <is>
          <t>依赖满足后可领取</t>
        </is>
      </c>
      <c r="J16" s="2" t="inlineStr">
        <is>
          <t>待分配</t>
        </is>
      </c>
      <c r="K16" s="2" t="inlineStr">
        <is>
          <t>并发领取仍单Runner；Outbox至少一次投递不重复业务；有PG和真实历史重放日志。</t>
        </is>
      </c>
      <c r="L16" s="2" t="inlineStr">
        <is>
          <t>artifacts/v1/V1-15/</t>
        </is>
      </c>
    </row>
    <row r="17" ht="92" customHeight="1">
      <c r="A17" s="3" t="inlineStr">
        <is>
          <t>V1-16</t>
        </is>
      </c>
      <c r="B17" s="3" t="inlineStr">
        <is>
          <t>APK任务协议持久化与恢复补齐</t>
        </is>
      </c>
      <c r="C17" s="3" t="inlineStr">
        <is>
          <t>M2 发布核心</t>
        </is>
      </c>
      <c r="D17" s="3" t="inlineStr">
        <is>
          <t>V1-13, V1-15</t>
        </is>
      </c>
      <c r="E17" s="3" t="n">
        <v>1.5</v>
      </c>
      <c r="F17" s="3" t="n">
        <v>3</v>
      </c>
      <c r="G17" s="3" t="inlineStr">
        <is>
          <t>todo</t>
        </is>
      </c>
      <c r="H17" s="3" t="inlineStr">
        <is>
          <t>AutomationStore、CloudTaskClient、SyncService已存在</t>
        </is>
      </c>
      <c r="I17" s="3" t="inlineStr">
        <is>
          <t>依赖满足后可领取</t>
        </is>
      </c>
      <c r="J17" s="3" t="inlineStr">
        <is>
          <t>待分配</t>
        </is>
      </c>
      <c r="K17" s="3" t="inlineStr">
        <is>
          <t>重启不会丢任务或重复最终动作；未知协议失败关闭。</t>
        </is>
      </c>
      <c r="L17" s="3" t="inlineStr">
        <is>
          <t>artifacts/v1/V1-16/</t>
        </is>
      </c>
    </row>
    <row r="18" ht="92" customHeight="1">
      <c r="A18" s="2" t="inlineStr">
        <is>
          <t>V1-17</t>
        </is>
      </c>
      <c r="B18" s="2" t="inlineStr">
        <is>
          <t>任务绑定的媒体授权与流式投递</t>
        </is>
      </c>
      <c r="C18" s="2" t="inlineStr">
        <is>
          <t>M2 发布核心</t>
        </is>
      </c>
      <c r="D18" s="2" t="inlineStr">
        <is>
          <t>V1-08, V1-14, V1-16</t>
        </is>
      </c>
      <c r="E18" s="2" t="n">
        <v>1.5</v>
      </c>
      <c r="F18" s="2" t="n">
        <v>3</v>
      </c>
      <c r="G18" s="2" t="inlineStr">
        <is>
          <t>todo</t>
        </is>
      </c>
      <c r="H18" s="2" t="inlineStr">
        <is>
          <t>已有下载校验/MediaStore导出；当前仅限制到租户</t>
        </is>
      </c>
      <c r="I18" s="2" t="inlineStr">
        <is>
          <t>依赖满足后可领取</t>
        </is>
      </c>
      <c r="J18" s="2" t="inlineStr">
        <is>
          <t>待分配</t>
        </is>
      </c>
      <c r="K18" s="2" t="inlineStr">
        <is>
          <t>同租户其他任务媒体无法下载；重复投递不重复导出；坏文件不进入平台。</t>
        </is>
      </c>
      <c r="L18" s="2" t="inlineStr">
        <is>
          <t>artifacts/v1/V1-17/</t>
        </is>
      </c>
    </row>
    <row r="19" ht="92" customHeight="1">
      <c r="A19" s="3" t="inlineStr">
        <is>
          <t>V1-18</t>
        </is>
      </c>
      <c r="B19" s="3" t="inlineStr">
        <is>
          <t>闲鱼精确选图，消除索引盲选</t>
        </is>
      </c>
      <c r="C19" s="3" t="inlineStr">
        <is>
          <t>M3 闲鱼</t>
        </is>
      </c>
      <c r="D19" s="3" t="inlineStr">
        <is>
          <t>V1-04, V1-17</t>
        </is>
      </c>
      <c r="E19" s="3" t="n">
        <v>2</v>
      </c>
      <c r="F19" s="3" t="n">
        <v>4</v>
      </c>
      <c r="G19" s="3" t="inlineStr">
        <is>
          <t>todo</t>
        </is>
      </c>
      <c r="H19" s="3" t="inlineStr">
        <is>
          <t>现有gallery_select_N只按第N个选择节点</t>
        </is>
      </c>
      <c r="I19" s="3" t="inlineStr">
        <is>
          <t>依赖满足后可领取</t>
        </is>
      </c>
      <c r="J19" s="3" t="inlineStr">
        <is>
          <t>待分配</t>
        </is>
      </c>
      <c r="K19" s="3" t="inlineStr">
        <is>
          <t>实际选中A/B/C且顺序一致；不确定时不提交。</t>
        </is>
      </c>
      <c r="L19" s="3" t="inlineStr">
        <is>
          <t>artifacts/v1/V1-18/</t>
        </is>
      </c>
    </row>
    <row r="20" ht="92" customHeight="1">
      <c r="A20" s="2" t="inlineStr">
        <is>
          <t>V1-19</t>
        </is>
      </c>
      <c r="B20" s="2" t="inlineStr">
        <is>
          <t>闲鱼完整商品预填和预览证据</t>
        </is>
      </c>
      <c r="C20" s="2" t="inlineStr">
        <is>
          <t>M3 闲鱼</t>
        </is>
      </c>
      <c r="D20" s="2" t="inlineStr">
        <is>
          <t>V1-10, V1-12, V1-18</t>
        </is>
      </c>
      <c r="E20" s="2" t="n">
        <v>1.5</v>
      </c>
      <c r="F20" s="2" t="n">
        <v>3</v>
      </c>
      <c r="G20" s="2" t="inlineStr">
        <is>
          <t>todo</t>
        </is>
      </c>
      <c r="H20" s="2" t="inlineStr">
        <is>
          <t>已有描述/价格配方，缺完整字段回读</t>
        </is>
      </c>
      <c r="I20" s="2" t="inlineStr">
        <is>
          <t>依赖满足后可领取</t>
        </is>
      </c>
      <c r="J20" s="2" t="inlineStr">
        <is>
          <t>待分配</t>
        </is>
      </c>
      <c r="K20" s="2" t="inlineStr">
        <is>
          <t>商品、媒体、价格、运费和账号可逐项核对，预填不触发最终发布。</t>
        </is>
      </c>
      <c r="L20" s="2" t="inlineStr">
        <is>
          <t>artifacts/v1/V1-19/</t>
        </is>
      </c>
    </row>
    <row r="21" ht="92" customHeight="1">
      <c r="A21" s="3" t="inlineStr">
        <is>
          <t>V1-20</t>
        </is>
      </c>
      <c r="B21" s="3" t="inlineStr">
        <is>
          <t>最终提交许可与最多一次执行</t>
        </is>
      </c>
      <c r="C21" s="3" t="inlineStr">
        <is>
          <t>M3 闲鱼</t>
        </is>
      </c>
      <c r="D21" s="3" t="inlineStr">
        <is>
          <t>V1-13, V1-16, V1-19</t>
        </is>
      </c>
      <c r="E21" s="3" t="n">
        <v>2</v>
      </c>
      <c r="F21" s="3" t="n">
        <v>4</v>
      </c>
      <c r="G21" s="3" t="inlineStr">
        <is>
          <t>todo</t>
        </is>
      </c>
      <c r="H21" s="3" t="inlineStr">
        <is>
          <t>数据库CommitIntent存在，APK最终发布协议未闭环</t>
        </is>
      </c>
      <c r="I21" s="3" t="inlineStr">
        <is>
          <t>依赖满足后可领取</t>
        </is>
      </c>
      <c r="J21" s="3" t="inlineStr">
        <is>
          <t>待分配</t>
        </is>
      </c>
      <c r="K21" s="3" t="inlineStr">
        <is>
          <t>每Target最多一次提交尝试；重复许可/任务/重启均无重复发布。</t>
        </is>
      </c>
      <c r="L21" s="3" t="inlineStr">
        <is>
          <t>artifacts/v1/V1-20/</t>
        </is>
      </c>
    </row>
    <row r="22" ht="92" customHeight="1">
      <c r="A22" s="2" t="inlineStr">
        <is>
          <t>V1-21</t>
        </is>
      </c>
      <c r="B22" s="2" t="inlineStr">
        <is>
          <t>结果对账、审核状态与人工处理</t>
        </is>
      </c>
      <c r="C22" s="2" t="inlineStr">
        <is>
          <t>M3 闲鱼</t>
        </is>
      </c>
      <c r="D22" s="2" t="inlineStr">
        <is>
          <t>V1-20</t>
        </is>
      </c>
      <c r="E22" s="2" t="n">
        <v>1.5</v>
      </c>
      <c r="F22" s="2" t="n">
        <v>3</v>
      </c>
      <c r="G22" s="2" t="inlineStr">
        <is>
          <t>todo</t>
        </is>
      </c>
      <c r="H22" s="2" t="inlineStr">
        <is>
          <t>现有MobileTask终态不能证明平台发布结果</t>
        </is>
      </c>
      <c r="I22" s="2" t="inlineStr">
        <is>
          <t>依赖满足后可领取</t>
        </is>
      </c>
      <c r="J22" s="2" t="inlineStr">
        <is>
          <t>待分配</t>
        </is>
      </c>
      <c r="K22" s="2" t="inlineStr">
        <is>
          <t>填表、已接收、审核中、公开成功、未知严格分开；UNKNOWN不自动重发。</t>
        </is>
      </c>
      <c r="L22" s="2" t="inlineStr">
        <is>
          <t>artifacts/v1/V1-21/</t>
        </is>
      </c>
    </row>
    <row r="23" ht="92" customHeight="1">
      <c r="A23" s="3" t="inlineStr">
        <is>
          <t>V1-22</t>
        </is>
      </c>
      <c r="B23" s="3" t="inlineStr">
        <is>
          <t>Web 一次确认发布向导和结果页</t>
        </is>
      </c>
      <c r="C23" s="3" t="inlineStr">
        <is>
          <t>M3 闲鱼</t>
        </is>
      </c>
      <c r="D23" s="3" t="inlineStr">
        <is>
          <t>V1-09, V1-11, V1-14, V1-21</t>
        </is>
      </c>
      <c r="E23" s="3" t="n">
        <v>2</v>
      </c>
      <c r="F23" s="3" t="n">
        <v>3</v>
      </c>
      <c r="G23" s="3" t="inlineStr">
        <is>
          <t>todo</t>
        </is>
      </c>
      <c r="H23" s="3" t="inlineStr">
        <is>
          <t>现有发布路由重定向到通用OperationsView</t>
        </is>
      </c>
      <c r="I23" s="3" t="inlineStr">
        <is>
          <t>依赖满足后可领取</t>
        </is>
      </c>
      <c r="J23" s="3" t="inlineStr">
        <is>
          <t>待分配</t>
        </is>
      </c>
      <c r="K23" s="3" t="inlineStr">
        <is>
          <t>能从真实Product建计划到查看结果；双击无重复；无mock回执；阶段名称准确。</t>
        </is>
      </c>
      <c r="L23" s="3" t="inlineStr">
        <is>
          <t>artifacts/v1/V1-22/</t>
        </is>
      </c>
    </row>
    <row r="24" ht="92" customHeight="1">
      <c r="A24" s="2" t="inlineStr">
        <is>
          <t>V1-23</t>
        </is>
      </c>
      <c r="B24" s="2" t="inlineStr">
        <is>
          <t>平台权限探测与适配器注册合同</t>
        </is>
      </c>
      <c r="C24" s="2" t="inlineStr">
        <is>
          <t>M4 三内容平台</t>
        </is>
      </c>
      <c r="D24" s="2" t="inlineStr">
        <is>
          <t>V1-02, V1-12, V1-13</t>
        </is>
      </c>
      <c r="E24" s="2" t="n">
        <v>1</v>
      </c>
      <c r="F24" s="2" t="n">
        <v>2</v>
      </c>
      <c r="G24" s="2" t="inlineStr">
        <is>
          <t>todo</t>
        </is>
      </c>
      <c r="H24" s="2" t="inlineStr">
        <is>
          <t>除闲鱼外未见已接入的移动定位器</t>
        </is>
      </c>
      <c r="I24" s="2" t="inlineStr">
        <is>
          <t>依赖满足后可领取</t>
        </is>
      </c>
      <c r="J24" s="2" t="inlineStr">
        <is>
          <t>待分配</t>
        </is>
      </c>
      <c r="K24" s="2" t="inlineStr">
        <is>
          <t>每个平台有已证实渠道或明确阻塞；公开资料和账号实际权限分栏。</t>
        </is>
      </c>
      <c r="L24" s="2" t="inlineStr">
        <is>
          <t>artifacts/v1/V1-23/</t>
        </is>
      </c>
    </row>
    <row r="25" ht="92" customHeight="1">
      <c r="A25" s="3" t="inlineStr">
        <is>
          <t>V1-24</t>
        </is>
      </c>
      <c r="B25" s="3" t="inlineStr">
        <is>
          <t>小红书图文发布适配器</t>
        </is>
      </c>
      <c r="C25" s="3" t="inlineStr">
        <is>
          <t>M4 三内容平台</t>
        </is>
      </c>
      <c r="D25" s="3" t="inlineStr">
        <is>
          <t>V1-11, V1-17, V1-20, V1-21, V1-23</t>
        </is>
      </c>
      <c r="E25" s="3" t="n">
        <v>3</v>
      </c>
      <c r="F25" s="3" t="n">
        <v>5</v>
      </c>
      <c r="G25" s="3" t="inlineStr">
        <is>
          <t>todo</t>
        </is>
      </c>
      <c r="H25" s="3" t="inlineStr">
        <is>
          <t>本机小红书8.50.1；执行器尚未接入</t>
        </is>
      </c>
      <c r="I25" s="3" t="inlineStr">
        <is>
          <t>依赖满足后可领取</t>
        </is>
      </c>
      <c r="J25" s="3" t="inlineStr">
        <is>
          <t>待分配</t>
        </is>
      </c>
      <c r="K25" s="3" t="inlineStr">
        <is>
          <t>指定图文发布到指定账号；有外部结果证据；审核中不显示公开成功。</t>
        </is>
      </c>
      <c r="L25" s="3" t="inlineStr">
        <is>
          <t>artifacts/v1/V1-24/</t>
        </is>
      </c>
    </row>
    <row r="26" ht="92" customHeight="1">
      <c r="A26" s="2" t="inlineStr">
        <is>
          <t>V1-25</t>
        </is>
      </c>
      <c r="B26" s="2" t="inlineStr">
        <is>
          <t>抖音视频发布适配器</t>
        </is>
      </c>
      <c r="C26" s="2" t="inlineStr">
        <is>
          <t>M4 三内容平台</t>
        </is>
      </c>
      <c r="D26" s="2" t="inlineStr">
        <is>
          <t>V1-11, V1-17, V1-20, V1-21, V1-23</t>
        </is>
      </c>
      <c r="E26" s="2" t="n">
        <v>3</v>
      </c>
      <c r="F26" s="2" t="n">
        <v>5</v>
      </c>
      <c r="G26" s="2" t="inlineStr">
        <is>
          <t>todo</t>
        </is>
      </c>
      <c r="H26" s="2" t="inlineStr">
        <is>
          <t>本机抖音39.6.0；需核查video.create授权</t>
        </is>
      </c>
      <c r="I26" s="2" t="inlineStr">
        <is>
          <t>依赖满足后可领取</t>
        </is>
      </c>
      <c r="J26" s="2" t="inlineStr">
        <is>
          <t>待分配</t>
        </is>
      </c>
      <c r="K26" s="2" t="inlineStr">
        <is>
          <t>完整视频到指定账号；上传、提交、审核三阶段可追溯；无跨渠道重复。</t>
        </is>
      </c>
      <c r="L26" s="2" t="inlineStr">
        <is>
          <t>artifacts/v1/V1-25/</t>
        </is>
      </c>
    </row>
    <row r="27" ht="92" customHeight="1">
      <c r="A27" s="3" t="inlineStr">
        <is>
          <t>V1-26</t>
        </is>
      </c>
      <c r="B27" s="3" t="inlineStr">
        <is>
          <t>微信公众号文章发布适配器</t>
        </is>
      </c>
      <c r="C27" s="3" t="inlineStr">
        <is>
          <t>M4 三内容平台</t>
        </is>
      </c>
      <c r="D27" s="3" t="inlineStr">
        <is>
          <t>V1-11, V1-20, V1-21, V1-23</t>
        </is>
      </c>
      <c r="E27" s="3" t="n">
        <v>3</v>
      </c>
      <c r="F27" s="3" t="n">
        <v>5</v>
      </c>
      <c r="G27" s="3" t="inlineStr">
        <is>
          <t>todo</t>
        </is>
      </c>
      <c r="H27" s="3" t="inlineStr">
        <is>
          <t>官方文档正文本轮未取得；账号资格未知</t>
        </is>
      </c>
      <c r="I27" s="3" t="inlineStr">
        <is>
          <t>依赖满足后可领取</t>
        </is>
      </c>
      <c r="J27" s="3" t="inlineStr">
        <is>
          <t>待分配</t>
        </is>
      </c>
      <c r="K27" s="3" t="inlineStr">
        <is>
          <t>文章发布有可核验URL/ID；只有草稿权限不得把该任务标done。</t>
        </is>
      </c>
      <c r="L27" s="3" t="inlineStr">
        <is>
          <t>artifacts/v1/V1-26/</t>
        </is>
      </c>
    </row>
    <row r="28" ht="92" customHeight="1">
      <c r="A28" s="2" t="inlineStr">
        <is>
          <t>V1-27</t>
        </is>
      </c>
      <c r="B28" s="2" t="inlineStr">
        <is>
          <t>多平台多账号排队与部分失败</t>
        </is>
      </c>
      <c r="C28" s="2" t="inlineStr">
        <is>
          <t>M5 完整V1</t>
        </is>
      </c>
      <c r="D28" s="2" t="inlineStr">
        <is>
          <t>V1-15, V1-22, V1-24, V1-25, V1-26</t>
        </is>
      </c>
      <c r="E28" s="2" t="n">
        <v>1.5</v>
      </c>
      <c r="F28" s="2" t="n">
        <v>3</v>
      </c>
      <c r="G28" s="2" t="inlineStr">
        <is>
          <t>todo</t>
        </is>
      </c>
      <c r="H28" s="2" t="inlineStr">
        <is>
          <t>已有批次操作骨架，需统一真正的PublishTarget</t>
        </is>
      </c>
      <c r="I28" s="2" t="inlineStr">
        <is>
          <t>依赖满足后可领取</t>
        </is>
      </c>
      <c r="J28" s="2" t="inlineStr">
        <is>
          <t>待分配</t>
        </is>
      </c>
      <c r="K28" s="2" t="inlineStr">
        <is>
          <t>一次确认可排队四平台，部分失败可定位；同设备无并行写；成功项不重复发布。</t>
        </is>
      </c>
      <c r="L28" s="2" t="inlineStr">
        <is>
          <t>artifacts/v1/V1-27/</t>
        </is>
      </c>
    </row>
    <row r="29" ht="92" customHeight="1">
      <c r="A29" s="3" t="inlineStr">
        <is>
          <t>V1-28</t>
        </is>
      </c>
      <c r="B29" s="3" t="inlineStr">
        <is>
          <t>断网重启、无USB和账号异常恢复</t>
        </is>
      </c>
      <c r="C29" s="3" t="inlineStr">
        <is>
          <t>M5 完整V1</t>
        </is>
      </c>
      <c r="D29" s="3" t="inlineStr">
        <is>
          <t>V1-27</t>
        </is>
      </c>
      <c r="E29" s="3" t="n">
        <v>2</v>
      </c>
      <c r="F29" s="3" t="n">
        <v>4</v>
      </c>
      <c r="G29" s="3" t="inlineStr">
        <is>
          <t>todo</t>
        </is>
      </c>
      <c r="H29" s="3" t="inlineStr">
        <is>
          <t>基础恢复单测已有，真实长链证据不足</t>
        </is>
      </c>
      <c r="I29" s="3" t="inlineStr">
        <is>
          <t>依赖满足后可领取</t>
        </is>
      </c>
      <c r="J29" s="3" t="inlineStr">
        <is>
          <t>待分配</t>
        </is>
      </c>
      <c r="K29" s="3" t="inlineStr">
        <is>
          <t>无USB任务能独立运行；提交不重复；账号异常暂停；24h报告可复核。</t>
        </is>
      </c>
      <c r="L29" s="3" t="inlineStr">
        <is>
          <t>artifacts/v1/V1-28/</t>
        </is>
      </c>
    </row>
    <row r="30" ht="92" customHeight="1">
      <c r="A30" s="2" t="inlineStr">
        <is>
          <t>V1-29</t>
        </is>
      </c>
      <c r="B30" s="2" t="inlineStr">
        <is>
          <t>Release 构建、部署备份与回滚</t>
        </is>
      </c>
      <c r="C30" s="2" t="inlineStr">
        <is>
          <t>M5 完整V1</t>
        </is>
      </c>
      <c r="D30" s="2" t="inlineStr">
        <is>
          <t>V1-01, V1-28</t>
        </is>
      </c>
      <c r="E30" s="2" t="n">
        <v>1.5</v>
      </c>
      <c r="F30" s="2" t="n">
        <v>3</v>
      </c>
      <c r="G30" s="2" t="inlineStr">
        <is>
          <t>todo</t>
        </is>
      </c>
      <c r="H30" s="2" t="inlineStr">
        <is>
          <t>当前已装debug APK；服务部署与本地版本未比对</t>
        </is>
      </c>
      <c r="I30" s="2" t="inlineStr">
        <is>
          <t>依赖满足后可领取</t>
        </is>
      </c>
      <c r="J30" s="2" t="inlineStr">
        <is>
          <t>待分配</t>
        </is>
      </c>
      <c r="K30" s="2" t="inlineStr">
        <is>
          <t>安装可核对release；部署摘要对应源码；有已演练恢复步骤。</t>
        </is>
      </c>
      <c r="L30" s="2" t="inlineStr">
        <is>
          <t>artifacts/v1/V1-29/</t>
        </is>
      </c>
    </row>
    <row r="31" ht="92" customHeight="1">
      <c r="A31" s="3" t="inlineStr">
        <is>
          <t>V1-30</t>
        </is>
      </c>
      <c r="B31" s="3" t="inlineStr">
        <is>
          <t>完整V1业务验收和来源回写</t>
        </is>
      </c>
      <c r="C31" s="3" t="inlineStr">
        <is>
          <t>M5 完整V1</t>
        </is>
      </c>
      <c r="D31" s="3" t="inlineStr">
        <is>
          <t>V1-06, V1-07, V1-27, V1-28, V1-29</t>
        </is>
      </c>
      <c r="E31" s="3" t="n">
        <v>1</v>
      </c>
      <c r="F31" s="3" t="n">
        <v>2</v>
      </c>
      <c r="G31" s="3" t="inlineStr">
        <is>
          <t>todo</t>
        </is>
      </c>
      <c r="H31" s="3" t="inlineStr">
        <is>
          <t>完整端到端里程碑本轮验收0/8</t>
        </is>
      </c>
      <c r="I31" s="3" t="inlineStr">
        <is>
          <t>依赖满足后可领取</t>
        </is>
      </c>
      <c r="J31" s="3" t="inlineStr">
        <is>
          <t>待分配</t>
        </is>
      </c>
      <c r="K31" s="3" t="inlineStr">
        <is>
          <t>8个完整业务里程碑均有证据；四平台都能明确区分草稿/审核/公开结果；用户能独立操作。</t>
        </is>
      </c>
      <c r="L31" s="3" t="inlineStr">
        <is>
          <t>artifacts/v1/V1-30/</t>
        </is>
      </c>
    </row>
  </sheetData>
  <autoFilter ref="A1:L31"/>
  <conditionalFormatting sqref="G2:G31">
    <cfRule type="expression" priority="1" dxfId="0">
      <formula>G2="done"</formula>
    </cfRule>
    <cfRule type="expression" priority="2" dxfId="1">
      <formula>G2="blocked"</formula>
    </cfRule>
    <cfRule type="expression" priority="3" dxfId="2">
      <formula>G2="review"</formula>
    </cfRule>
  </conditionalFormatting>
  <dataValidations count="1">
    <dataValidation sqref="G2:G31" showDropDown="0" showInputMessage="0" showErrorMessage="1" allowBlank="0" errorTitle="状态错误" error="请选择有效状态" type="list">
      <formula1>"todo,doing,blocked,blocked_hardware,review,done"</formula1>
    </dataValidation>
  </dataValidations>
  <printOptions horizontalCentered="1"/>
  <pageMargins left="0.75" right="0.75" top="1" bottom="1" header="0.5" footer="0.5"/>
  <pageSetup orientation="landscape" paperSize="8" fitToHeight="0" fitToWidth="1"/>
  <headerFooter>
    <oddHeader/>
    <oddFooter>&amp;C第 &amp;P 页 / 共 &amp;N 页&amp;R2026-09-05 重审基线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087F8C"/>
    <outlinePr summaryBelow="1" summaryRight="1"/>
    <pageSetUpPr fitToPage="1"/>
  </sheetPr>
  <dimension ref="A1:G31"/>
  <sheetViews>
    <sheetView showGridLines="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36" customWidth="1" min="2" max="2"/>
    <col width="70" customWidth="1" min="3" max="3"/>
    <col width="115" customWidth="1" min="4" max="4"/>
    <col width="80" customWidth="1" min="5" max="5"/>
    <col width="75" customWidth="1" min="6" max="6"/>
    <col width="32" customWidth="1" min="7" max="7"/>
  </cols>
  <sheetData>
    <row r="1" ht="32" customHeight="1">
      <c r="A1" s="1" t="inlineStr">
        <is>
          <t>ID</t>
        </is>
      </c>
      <c r="B1" s="1" t="inlineStr">
        <is>
          <t>任务</t>
        </is>
      </c>
      <c r="C1" s="1" t="inlineStr">
        <is>
          <t>修改范围</t>
        </is>
      </c>
      <c r="D1" s="1" t="inlineStr">
        <is>
          <t>按顺序实施</t>
        </is>
      </c>
      <c r="E1" s="1" t="inlineStr">
        <is>
          <t>验收命令/操作</t>
        </is>
      </c>
      <c r="F1" s="1" t="inlineStr">
        <is>
          <t>通过标准</t>
        </is>
      </c>
      <c r="G1" s="1" t="inlineStr">
        <is>
          <t>证据目录</t>
        </is>
      </c>
    </row>
    <row r="2" ht="205" customHeight="1">
      <c r="A2" s="2" t="inlineStr">
        <is>
          <t>V1-01</t>
        </is>
      </c>
      <c r="B2" s="2" t="inlineStr">
        <is>
          <t>建立可复现工程基线并修复真实检查失败</t>
        </is>
      </c>
      <c r="C2" s="2" t="inlineStr">
        <is>
          <t>pyproject.toml
.github/workflows/ci.yml
scripts/check-security-boundaries.sh
apps/web/playwright.config.ts
apps/web/e2e/smoke.spec.ts</t>
        </is>
      </c>
      <c r="D2" s="2" t="inlineStr">
        <is>
          <t>1. 保存本轮日志作为基线；记录 Python/pnpm/JDK/SDK 版本与依赖清单，建立不包含 lab/凭据的源码 Git 检查点。
2. 按 Ruff/Pyright 日志定位问题；对 Outbox 构造参数、gRPC 方法真实签名逐项核对，禁止只加 type: ignore。
3. 修复 BSD grep 扫描失败：错误必须非零退出；临时夹具覆盖违规 import、设备端口、密钥样式，夹具不含真实密钥。
4. Playwright 独占端口并验证页面属于 CloudCtl；产品用例只使用产品配置；核对侧栏滚动和页面文案现状后调整真实交互断言。
5. 补完整锁定和安装说明；在干净测试环境验证，而不是删除当前工作虚拟环境。</t>
        </is>
      </c>
      <c r="E2" s="2" t="inlineStr">
        <is>
          <t>.venv/bin/python -m pytest -q
.venv/bin/ruff check .
.venv/bin/ruff format --check .
.venv/bin/pyright
pnpm lint
pnpm typecheck
pnpm test
pnpm build
bash scripts/check-security-boundaries.sh
pnpm --filter @cloudctl/web e2e:product</t>
        </is>
      </c>
      <c r="F2" s="2" t="inlineStr">
        <is>
          <t>上述命令全绿；浏览器 smoke 在独占端口运行且无新增 skip；扫描器故障不能返回成功。</t>
        </is>
      </c>
      <c r="G2" s="2" t="inlineStr">
        <is>
          <t>artifacts/v1/V1-01/</t>
        </is>
      </c>
    </row>
    <row r="3" ht="205" customHeight="1">
      <c r="A3" s="3" t="inlineStr">
        <is>
          <t>V1-02</t>
        </is>
      </c>
      <c r="B3" s="3" t="inlineStr">
        <is>
          <t>冻结 APK 直连主线和 V1 业务范围</t>
        </is>
      </c>
      <c r="C3" s="3" t="inlineStr">
        <is>
          <t>AGENTS.md
README.md
docs/adr/0003-mobile-local-execution.md
docs/v1/02-实施方案.md</t>
        </is>
      </c>
      <c r="D3" s="3" t="inlineStr">
        <is>
          <t>1. 逐条列出旧架构与 ADR 0003 冲突，写新的 ADR 说明适用范围及取代关系。
2. 将设备任务定为 Companion 直连；已有 API 平台执行走服务端；两者共享业务 Target。
3. 保留 LAMDA/Edge 诊断边界，但生产首版不依赖 USB，不同时在手机上跑两个 Runner。
4. 明确闲鱼商品、小红书图文、抖音视频、公众号文章均属于完整 V1；其他竞品目录冻结。</t>
        </is>
      </c>
      <c r="E3" s="3" t="inlineStr">
        <is>
          <t>rg -n "Mobile-local|Companion|LAMDA|V1" AGENTS.md README.md docs/adr</t>
        </is>
      </c>
      <c r="F3" s="3" t="inlineStr">
        <is>
          <t>每种执行方式有唯一所有者、同一提交语义和明确文档入口；无相互矛盾的强制路线。</t>
        </is>
      </c>
      <c r="G3" s="3" t="inlineStr">
        <is>
          <t>artifacts/v1/V1-02/</t>
        </is>
      </c>
    </row>
    <row r="4" ht="205" customHeight="1">
      <c r="A4" s="2" t="inlineStr">
        <is>
          <t>V1-03</t>
        </is>
      </c>
      <c r="B4" s="2" t="inlineStr">
        <is>
          <t>盘点用户真实商品库和素材库</t>
        </is>
      </c>
      <c r="C4" s="2" t="inlineStr">
        <is>
          <t>docs/v1/source-profile.json（新增）
docs/v1/source-mapping.md（新增）</t>
        </is>
      </c>
      <c r="D4" s="2" t="inlineStr">
        <is>
          <t>1. 由库管理员提供只读入口，填写实施方案第3节的来源类型、范围、稳定主键、附件获取方式与规模。
2. 只读抽样10商品/20素材，脱敏记录字段名、类型、空值、金额单位、附件顺序和原件可访问性。
3. 确定两个库之间关联键及删除、冲突处理；来源字段默认只读，平台覆盖另存。
4. 拿到真实权限后做一次只读请求并保存脱敏响应结构；未提供入口时保留阻塞，不猜测飞书或数据库。</t>
        </is>
      </c>
      <c r="E4" s="2" t="inlineStr">
        <is>
          <t>读取 source-profile.json 并校验必填项；按实际来源官方文档执行只读采样（端点待盘点）</t>
        </is>
      </c>
      <c r="F4" s="2" t="inlineStr">
        <is>
          <t>真实入口、主键与字段映射确认；原图/视频可读取；凭据只存 secret_ref。</t>
        </is>
      </c>
      <c r="G4" s="2" t="inlineStr">
        <is>
          <t>artifacts/v1/V1-03/</t>
        </is>
      </c>
    </row>
    <row r="5" ht="205" customHeight="1">
      <c r="A5" s="3" t="inlineStr">
        <is>
          <t>V1-04</t>
        </is>
      </c>
      <c r="B5" s="3" t="inlineStr">
        <is>
          <t>恢复真机验收前置条件</t>
        </is>
      </c>
      <c r="C5" s="3" t="inlineStr">
        <is>
          <t>mobile/companion/app/src/main/java/com/company/cloudctl/companion/MainActivity.kt
mobile/companion/app/src/main/java/com/company/cloudctl/companion/service/CompanionSyncService.kt
docs/v1/device-matrix.json（新增）</t>
        </is>
      </c>
      <c r="D5" s="3" t="inlineStr">
        <is>
          <t>1. 记录当前手机、APK、四个App版本；核对APK所绑定API环境与本轮源码构建摘要。
2. 在手机系统设置中由用户/授权管理员启用项目无障碍服务；确认通知、前台服务和电池状态。
3. 用现有注册流程绑定受控测试设备，不覆盖其他账号或卸载应用。
4. 运行只读健康/截图任务，核对服务端任务ID与手机日志；记录平台账号指纹但不抄录密码。</t>
        </is>
      </c>
      <c r="E5" s="3" t="inlineStr">
        <is>
          <t>adb devices -l
adb -s b0644fb5 shell settings get secure enabled_accessibility_services
./mobile/companion/build-external.sh testDebugUnitTest lintDebug</t>
        </is>
      </c>
      <c r="F5" s="3" t="inlineStr">
        <is>
          <t>项目服务已启用，HTTPS绑定正确，真实健康任务有回执；不把ADB在线当自动化通过。</t>
        </is>
      </c>
      <c r="G5" s="3" t="inlineStr">
        <is>
          <t>artifacts/v1/V1-04/</t>
        </is>
      </c>
    </row>
    <row r="6" ht="205" customHeight="1">
      <c r="A6" s="2" t="inlineStr">
        <is>
          <t>V1-05</t>
        </is>
      </c>
      <c r="B6" s="2" t="inlineStr">
        <is>
          <t>来源连接器协议和字段映射</t>
        </is>
      </c>
      <c r="C6" s="2" t="inlineStr">
        <is>
          <t>services/control-api/src/cloudctl_api/source_schemas.py（新增）
services/control-api/src/cloudctl_api/source_service.py（新增）
services/control-api/src/cloudctl_api/db.py
services/control-api/migrations/versions/（新增迁移）</t>
        </is>
      </c>
      <c r="D6" s="2" t="inlineStr">
        <is>
          <t>1. 定义 SourceConnection/SourceRecordLink/SyncRun/SyncError 的字段与租户唯一键。
2. 新增连接测试和preview接口，预览只返回规范记录与逐行错误，不写业务商品。
3. 定义 read_page(cursor)、fetch_asset(ref)、normalize_record(record) 协议；只实现盘点确认的一种来源。
4. 映射版本不可变；来源凭据经secret_ref解析，日志脱敏；分页游标只从来源响应取得。</t>
        </is>
      </c>
      <c r="E6" s="2" t="inlineStr">
        <is>
          <t>新增 tests/integration/test_source_connections.py：预览不写库、跨租户、权限失效、字段错误
.venv/bin/python -m pytest -q tests/integration/test_source_connections.py</t>
        </is>
      </c>
      <c r="F6" s="2" t="inlineStr">
        <is>
          <t>一页真实样本可转换为标准数据；错误精确到外部ID/字段；无明文凭据。</t>
        </is>
      </c>
      <c r="G6" s="2" t="inlineStr">
        <is>
          <t>artifacts/v1/V1-05/</t>
        </is>
      </c>
    </row>
    <row r="7" ht="205" customHeight="1">
      <c r="A7" s="3" t="inlineStr">
        <is>
          <t>V1-06</t>
        </is>
      </c>
      <c r="B7" s="3" t="inlineStr">
        <is>
          <t>幂等增量同步与附件入库</t>
        </is>
      </c>
      <c r="C7" s="3" t="inlineStr">
        <is>
          <t>services/control-api/src/cloudctl_api/source_service.py
services/control-api/src/cloudctl_api/media_store.py
services/control-api/src/cloudctl_api/services.py
services/outbox-dispatcher/src/cloudctl_outbox/</t>
        </is>
      </c>
      <c r="D7" s="3" t="inlineStr">
        <is>
          <t>1. 以tenant+connection+externalId唯一映射；同hash跳过，不同hash新建修订。
2. 分页业务提交后推进游标；来源下载先临时文件校验再注册资产。
3. 对过期附件地址向来源重新取一次；下载失败保留行级错误与重试入口。
4. 来源删除仅tombstone；发布引用不丢失；可选回写单独任务且按targetId幂等。
5. 使用进程中断夹具覆盖游标写入前后崩溃，重复页不得重复创建。</t>
        </is>
      </c>
      <c r="E7" s="3" t="inlineStr">
        <is>
          <t>新增 tests/integration/test_source_sync.py
.venv/bin/python -m pytest -q tests/integration/test_source_sync.py tests/integration/test_backend_accounts_media_content.py</t>
        </is>
      </c>
      <c r="F7" s="3" t="inlineStr">
        <is>
          <t>首轮导入、重复导入、修改、删除和崩溃恢复通过；至少10条真实来源记录与附件一致。</t>
        </is>
      </c>
      <c r="G7" s="3" t="inlineStr">
        <is>
          <t>artifacts/v1/V1-06/</t>
        </is>
      </c>
    </row>
    <row r="8" ht="205" customHeight="1">
      <c r="A8" s="2" t="inlineStr">
        <is>
          <t>V1-07</t>
        </is>
      </c>
      <c r="B8" s="2" t="inlineStr">
        <is>
          <t>Web 来源连接与同步错误界面</t>
        </is>
      </c>
      <c r="C8" s="2" t="inlineStr">
        <is>
          <t>apps/web/src/views/SourceConnectionsView.vue（新增）
apps/web/src/router.ts
packages/api-contracts/typescript/src/</t>
        </is>
      </c>
      <c r="D8" s="2" t="inlineStr">
        <is>
          <t>1. 从OpenAPI生成来源接口类型；表单只显示脱敏连接和字段映射。
2. 新增测试连接、预览10条、确认同步、最后同步时间与错误列表。
3. 点击行级错误能显示外部记录ID、字段和修复建议；重试复用syncRun操作键。
4. 刷新页面从API恢复状态，禁止本地假同步进度。</t>
        </is>
      </c>
      <c r="E8" s="2" t="inlineStr">
        <is>
          <t>python scripts/export_openapi.py（使用项目虚拟环境）
pnpm contracts
pnpm typecheck
pnpm --filter @cloudctl/web test</t>
        </is>
      </c>
      <c r="F8" s="2" t="inlineStr">
        <is>
          <t>非技术用户能确认来源、预览映射、启动同步并找到错误记录；页面刷新不丢任务。</t>
        </is>
      </c>
      <c r="G8" s="2" t="inlineStr">
        <is>
          <t>artifacts/v1/V1-07/</t>
        </is>
      </c>
    </row>
    <row r="9" ht="205" customHeight="1">
      <c r="A9" s="3" t="inlineStr">
        <is>
          <t>V1-08</t>
        </is>
      </c>
      <c r="B9" s="3" t="inlineStr">
        <is>
          <t>完善媒体就绪状态和大文件处理</t>
        </is>
      </c>
      <c r="C9" s="3" t="inlineStr">
        <is>
          <t>services/control-api/src/cloudctl_api/media_store.py
services/control-api/src/cloudctl_api/services.py
services/control-api/src/cloudctl_api/schemas.py
tests/integration/test_backend_accounts_media_content.py</t>
        </is>
      </c>
      <c r="D9" s="3" t="inlineStr">
        <is>
          <t>1. 检查上传完成校验：真实字节、大小、MIME、hash和租户引用必须一致。
2. 定义 PROCESSING/READY/FAILED；查明现有衍生物是否有执行工人，没有则补缩略图/视频元数据活动。
3. 大视频采用流式传输和长度上限；使用100MB测试文件验证峰值内存，不以测试大小代替平台限制。
4. 失败临时文件清理；被计划/商品引用的资产不物理删除。</t>
        </is>
      </c>
      <c r="E9" s="3" t="inlineStr">
        <is>
          <t>.venv/bin/python -m pytest -q tests/integration/test_backend_accounts_media_content.py
运行100MB流式上传下载基准并记录峰值内存、耗时</t>
        </is>
      </c>
      <c r="F9" s="3" t="inlineStr">
        <is>
          <t>仅真实校验完成资产可发布；缩略图/尺寸/时长可显示；hash错误被拒绝。</t>
        </is>
      </c>
      <c r="G9" s="3" t="inlineStr">
        <is>
          <t>artifacts/v1/V1-08/</t>
        </is>
      </c>
    </row>
    <row r="10" ht="205" customHeight="1">
      <c r="A10" s="2" t="inlineStr">
        <is>
          <t>V1-09</t>
        </is>
      </c>
      <c r="B10" s="2" t="inlineStr">
        <is>
          <t>Web 素材选择器与引用提示</t>
        </is>
      </c>
      <c r="C10" s="2" t="inlineStr">
        <is>
          <t>apps/web/src/components/MediaPicker.vue（新增）
apps/web/src/views/OperationsView.vue
packages/api-contracts/typescript/src/</t>
        </is>
      </c>
      <c r="D10" s="2" t="inlineStr">
        <is>
          <t>1. 提供图片/视频缩略图、标签分组搜索、上传状态与分页。
2. 选择时输出assetId有序数组，不要求用户复制ID；封面单独标识。
3. 显示引用数量，归档时告知具体商品/计划；失败媒体不可选。
4. 沿用现有媒体接口与TanStack Query，不另建本地媒体真相。</t>
        </is>
      </c>
      <c r="E10" s="2" t="inlineStr">
        <is>
          <t>pnpm typecheck
新增组件测试：分页、顺序、封面、未就绪禁用
pnpm --filter @cloudctl/web test</t>
        </is>
      </c>
      <c r="F10" s="2" t="inlineStr">
        <is>
          <t>用户能选图/视频、排序、设封面且保存后重开一致。</t>
        </is>
      </c>
      <c r="G10" s="2" t="inlineStr">
        <is>
          <t>artifacts/v1/V1-09/</t>
        </is>
      </c>
    </row>
    <row r="11" ht="205" customHeight="1">
      <c r="A11" s="3" t="inlineStr">
        <is>
          <t>V1-10</t>
        </is>
      </c>
      <c r="B11" s="3" t="inlineStr">
        <is>
          <t>商品原子保存、不可变修订与资源类型纠正</t>
        </is>
      </c>
      <c r="C11" s="3" t="inlineStr">
        <is>
          <t>services/control-api/src/cloudctl_api/db.py
services/control-api/src/cloudctl_api/services.py
services/control-api/src/cloudctl_api/schemas.py
apps/web/src/views/OperationsView.vue
tests/integration/test_backend_accounts_media_content.py</t>
        </is>
      </c>
      <c r="D11" s="3" t="inlineStr">
        <is>
          <t>1. 先增加失败回归：保存新Product再发往旧Content路径，明确类型不匹配；不使用预制共享ID掩盖。
2. 复用Product行，加不可变ProductRevision并回填当前版本；历史未知版本不可伪造。
3. 商品字段和媒体顺序在一个事务保存，expectedRevision不匹配返回409；金额用Decimal。
4. 改Web只维护productId/productRevision；删除对Content下发的商品调用，待V1-14接入正式Plan入口。
5. 平台覆盖补成色/运费/发货地，使用schema校验；不扩展ERP。</t>
        </is>
      </c>
      <c r="E11" s="3" t="inlineStr">
        <is>
          <t>.venv/bin/python -m pytest -q tests/integration/test_backend_accounts_media_content.py
pnpm --filter @cloudctl/web e2e:product
pnpm typecheck</t>
        </is>
      </c>
      <c r="F11" s="3" t="inlineStr">
        <is>
          <t>新增/编辑/图片排序原子一致；并发409；Product不会再作为Content查询；旧发布快照可读。</t>
        </is>
      </c>
      <c r="G11" s="3" t="inlineStr">
        <is>
          <t>artifacts/v1/V1-10/</t>
        </is>
      </c>
    </row>
    <row r="12" ht="205" customHeight="1">
      <c r="A12" s="2" t="inlineStr">
        <is>
          <t>V1-11</t>
        </is>
      </c>
      <c r="B12" s="2" t="inlineStr">
        <is>
          <t>内容包与平台覆盖编辑</t>
        </is>
      </c>
      <c r="C12" s="2" t="inlineStr">
        <is>
          <t>services/control-api/src/cloudctl_api/content_payload.py
services/control-api/src/cloudctl_api/schemas.py
apps/web/src/views/OperationsView.vue
tests/unit/test_content_payload.py</t>
        </is>
      </c>
      <c r="D12" s="2" t="inlineStr">
        <is>
          <t>1. 复用ContentRevision，定义图文、单视频、公众号文章三类结构。
2. 每平台保存title/body/media/cover/hashtags覆盖；不改共享原始素材。
3. 公众号HTML清洗，图片只引用本租户资产；标题超限阻断而非截断。
4. 保存新修订并提供按平台预览；未支持组合明确标不支持。</t>
        </is>
      </c>
      <c r="E12" s="2" t="inlineStr">
        <is>
          <t>.venv/bin/python -m pytest -q tests/unit/test_content_payload.py
pnpm --filter @cloudctl/web test</t>
        </is>
      </c>
      <c r="F12" s="2" t="inlineStr">
        <is>
          <t>同一内容可形成三种合法平台预览；编辑覆盖不会污染其他平台或旧修订。</t>
        </is>
      </c>
      <c r="G12" s="2" t="inlineStr">
        <is>
          <t>artifacts/v1/V1-11/</t>
        </is>
      </c>
    </row>
    <row r="13" ht="205" customHeight="1">
      <c r="A13" s="3" t="inlineStr">
        <is>
          <t>V1-12</t>
        </is>
      </c>
      <c r="B13" s="3" t="inlineStr">
        <is>
          <t>账号能力、身份核对与设备绑定</t>
        </is>
      </c>
      <c r="C13" s="3" t="inlineStr">
        <is>
          <t>services/control-api/src/cloudctl_api/db.py
services/control-api/src/cloudctl_api/services.py
services/control-api/src/cloudctl_api/mobile_service.py
mobile/companion/app/src/main/java/com/company/cloudctl/companion/automation/TargetLocatorRegistry.kt</t>
        </is>
      </c>
      <c r="D13" s="3" t="inlineStr">
        <is>
          <t>1. 读取现有account/binding实体，扩展channel/scope/status/verifiedAt/identityFingerprint，不复制账号表。
2. 区分ANDROID登录指纹与API OAuth scope；未支持/过期/撤销分别返回稳定码。
3. 提交前核对当前账号指纹及绑定设备，遇到切号/登录失效阻断。
4. Web显示授权来源、最后检查时间与恢复入口；Token保留服务端secret_ref。</t>
        </is>
      </c>
      <c r="E13" s="3" t="inlineStr">
        <is>
          <t>新增 tests/integration/test_account_capabilities.py
.venv/bin/python -m pytest -q tests/integration/test_account_capabilities.py
真机核对一个账号并模拟身份不一致（不自动切换账号）</t>
        </is>
      </c>
      <c r="F13" s="3" t="inlineStr">
        <is>
          <t>账号名相同不当成同一账号；失效、错号、错设备都不能申请提交许可。</t>
        </is>
      </c>
      <c r="G13" s="3" t="inlineStr">
        <is>
          <t>artifacts/v1/V1-12/</t>
        </is>
      </c>
    </row>
    <row r="14" ht="205" customHeight="1">
      <c r="A14" s="2" t="inlineStr">
        <is>
          <t>V1-13</t>
        </is>
      </c>
      <c r="B14" s="2" t="inlineStr">
        <is>
          <t>统一目标状态机与错误合同</t>
        </is>
      </c>
      <c r="C14" s="2" t="inlineStr">
        <is>
          <t>packages/domain/src/cloudctl_domain/
services/control-api/src/cloudctl_api/schemas.py
services/control-api/src/cloudctl_api/mobile_schemas.py
contracts/</t>
        </is>
      </c>
      <c r="D14" s="2" t="inlineStr">
        <is>
          <t>1. 列出现有所有状态及调用方，写新旧映射表与允许转移矩阵。
2. 加入PREPARED/DRAFT_SAVED/平台接收/审核中/公开成功语义，决定兼容存储方式。
3. 定义失败是否可重试及提交边界，UNKNOWN只允许查询/人工对账。
4. 增加模式PREPARE_ONLY/SAVE_DRAFT/PUBLISH；契约同步到Python/TS/Kotlin。</t>
        </is>
      </c>
      <c r="E14" s="2" t="inlineStr">
        <is>
          <t>.venv/bin/python -m pytest -q tests/unit/test_backend_domain.py tests/contracts/test_openapi_contract.py
pnpm contracts
pnpm typecheck</t>
        </is>
      </c>
      <c r="F14" s="2" t="inlineStr">
        <is>
          <t>非法倒退转移被拒绝；填表SUCCEEDED不能使Target变公开成功。</t>
        </is>
      </c>
      <c r="G14" s="2" t="inlineStr">
        <is>
          <t>artifacts/v1/V1-13/</t>
        </is>
      </c>
    </row>
    <row r="15" ht="205" customHeight="1">
      <c r="A15" s="3" t="inlineStr">
        <is>
          <t>V1-14</t>
        </is>
      </c>
      <c r="B15" s="3" t="inlineStr">
        <is>
          <t>计划校验、快照冻结与Product发布入口</t>
        </is>
      </c>
      <c r="C15" s="3" t="inlineStr">
        <is>
          <t>services/control-api/src/cloudctl_api/services.py
services/control-api/src/cloudctl_api/routes.py
services/control-api/src/cloudctl_api/schemas.py
services/control-api/src/cloudctl_api/db.py
tests/integration/test_backend_control_api.py</t>
        </is>
      </c>
      <c r="D15" s="3" t="inlineStr">
        <is>
          <t>1. 扩展现有Plan合同以source.kind分派ProductRevision/ContentRevision，避免重复Plan体系。
2. 校验source租户、媒体READY、账号能力、设备绑定、平台格式并生成previewHash。
3. 同事务写Plan/Target/不可变快照/审批/outbox；每个目标保存不同platform覆盖。
4. Idempotency-Key同摘要返回原资源，异摘要409；禁用Date.now作为网络重试的新key。
5. 记录快照hash、账号指纹、媒体顺序、执行器版本；提交后编辑不改变快照。</t>
        </is>
      </c>
      <c r="E15" s="3" t="inlineStr">
        <is>
          <t>.venv/bin/python -m pytest -q tests/integration/test_backend_control_api.py tests/integration/test_backend_accounts_media_content.py
新增Product到Plan到Target集成用例</t>
        </is>
      </c>
      <c r="F15" s="3" t="inlineStr">
        <is>
          <t>新商品通过正式发布入口建计划；重复请求只有一个Plan；来源修改不影响冻结内容。</t>
        </is>
      </c>
      <c r="G15" s="3" t="inlineStr">
        <is>
          <t>artifacts/v1/V1-14/</t>
        </is>
      </c>
    </row>
    <row r="16" ht="205" customHeight="1">
      <c r="A16" s="2" t="inlineStr">
        <is>
          <t>V1-15</t>
        </is>
      </c>
      <c r="B16" s="2" t="inlineStr">
        <is>
          <t>复用Outbox编排并验证PostgreSQL互斥</t>
        </is>
      </c>
      <c r="C16" s="2" t="inlineStr">
        <is>
          <t>services/temporal-worker/src/cloudctl_worker/
services/outbox-dispatcher/src/cloudctl_outbox/
services/control-api/src/cloudctl_api/mobile_service.py
tests/replay/</t>
        </is>
      </c>
      <c r="D16" s="2" t="inlineStr">
        <is>
          <t>1. 消费既有outbox为Target选择API或APK执行器；同event_id仅处理一次。
2. 固定账号再设备的锁顺序，PG租约fence递增；API目标不伪造deviceId。
3. 在临时PostgreSQL数据库跑实际Alembic升级及并发领取，不操作现有线上库。
4. 准备真实Temporal历史并用Replayer验证；单元AST检查保留但不冒充replay。</t>
        </is>
      </c>
      <c r="E16" s="2" t="inlineStr">
        <is>
          <t>.venv/bin/python -m pytest -q tests/integration/test_backend_outbox.py tests/replay
在隔离测试PostgreSQL上执行alembic upgrade head/current及新增并发测试</t>
        </is>
      </c>
      <c r="F16" s="2" t="inlineStr">
        <is>
          <t>并发领取仍单Runner；Outbox至少一次投递不重复业务；有PG和真实历史重放日志。</t>
        </is>
      </c>
      <c r="G16" s="2" t="inlineStr">
        <is>
          <t>artifacts/v1/V1-15/</t>
        </is>
      </c>
    </row>
    <row r="17" ht="205" customHeight="1">
      <c r="A17" s="3" t="inlineStr">
        <is>
          <t>V1-16</t>
        </is>
      </c>
      <c r="B17" s="3" t="inlineStr">
        <is>
          <t>APK任务协议持久化与恢复补齐</t>
        </is>
      </c>
      <c r="C17" s="3" t="inlineStr">
        <is>
          <t>mobile/companion/app/src/main/java/com/company/cloudctl/companion/automation/AutomationTask.kt
mobile/companion/app/src/main/java/com/company/cloudctl/companion/data/AutomationStore.kt
mobile/companion/app/src/main/java/com/company/cloudctl/companion/network/CloudTaskClient.kt
mobile/companion/app/src/main/java/com/company/cloudctl/companion/service/CompanionSyncService.kt</t>
        </is>
      </c>
      <c r="D17" s="3" t="inlineStr">
        <is>
          <t>1. 扩展版本化任务合同包含targetId/snapshotHash/accountFingerprint/channel；未知版本拒绝。
2. 核对taskId+canonical digest的持久化去重，重复相同内容返回旧回执，异内容拒绝。
3. 状态先落本地DB再ACK，事件携带唯一ID/序号；旧fence不可继续执行。
4. 进程恢复按PREPARING/COMMIT_STARTED分支，准备可恢复，提交已开始只对账。</t>
        </is>
      </c>
      <c r="E17" s="3" t="inlineStr">
        <is>
          <t>./mobile/companion/build-external.sh testDebugUnitTest lintDebug
新增AutomationStore进程恢复/异摘要/旧fence测试</t>
        </is>
      </c>
      <c r="F17" s="3" t="inlineStr">
        <is>
          <t>重启不会丢任务或重复最终动作；未知协议失败关闭。</t>
        </is>
      </c>
      <c r="G17" s="3" t="inlineStr">
        <is>
          <t>artifacts/v1/V1-16/</t>
        </is>
      </c>
    </row>
    <row r="18" ht="205" customHeight="1">
      <c r="A18" s="2" t="inlineStr">
        <is>
          <t>V1-17</t>
        </is>
      </c>
      <c r="B18" s="2" t="inlineStr">
        <is>
          <t>任务绑定的媒体授权与流式投递</t>
        </is>
      </c>
      <c r="C18" s="2" t="inlineStr">
        <is>
          <t>services/control-api/src/cloudctl_api/mobile_service.py
services/control-api/src/cloudctl_api/mobile_routes.py
mobile/companion/app/src/main/java/com/company/cloudctl/companion/media/MediaDelivery.kt
mobile/companion/app/src/main/java/com/company/cloudctl/companion/data/MediaDeliveryCoordinator.kt</t>
        </is>
      </c>
      <c r="D18" s="2" t="inlineStr">
        <is>
          <t>1. 新增delivery grant绑定target/task/device/manifestHash/到期，下载请求必须属于清单。
2. 按snapshot中媒体ID和hash生成manifest，不接受设备随意指定同租户资产。
3. 流式下载.part，长度/hash校验后原子安装；缓存命中必须重验绑定与hash。
4. 在本地持久化URI映射，重复领取复用；失败和取消只删除本任务产物。</t>
        </is>
      </c>
      <c r="E18" s="2" t="inlineStr">
        <is>
          <t>.venv/bin/python -m pytest -q tests/integration/test_mobile_task_api.py
./mobile/companion/build-external.sh testDebugUnitTest
真机100MB视频传输及断网/hash错误验收</t>
        </is>
      </c>
      <c r="F18" s="2" t="inlineStr">
        <is>
          <t>同租户其他任务媒体无法下载；重复投递不重复导出；坏文件不进入平台。</t>
        </is>
      </c>
      <c r="G18" s="2" t="inlineStr">
        <is>
          <t>artifacts/v1/V1-17/</t>
        </is>
      </c>
    </row>
    <row r="19" ht="205" customHeight="1">
      <c r="A19" s="3" t="inlineStr">
        <is>
          <t>V1-18</t>
        </is>
      </c>
      <c r="B19" s="3" t="inlineStr">
        <is>
          <t>闲鱼精确选图，消除索引盲选</t>
        </is>
      </c>
      <c r="C19" s="3" t="inlineStr">
        <is>
          <t>services/control-api/src/cloudctl_api/xianyu_publish.py
mobile/companion/app/src/main/java/com/company/cloudctl/companion/automation/TargetLocatorRegistry.kt
mobile/companion/app/src/main/java/com/company/cloudctl/companion/automation/CloudCtlAccessibilityService.kt
mobile/companion/app/src/main/java/com/company/cloudctl/companion/media/MediaGalleryExporter.kt</t>
        </is>
      </c>
      <c r="D19" s="3" t="inlineStr">
        <is>
          <t>1. 采集当前闲鱼选择器UI结构；记录相机入口、相册筛选、文件可见信息和排序。
2. 建立assetId/hash/URI到可验证选项的映射，优先受控相册和唯一标识。
3. 编译选择步骤前验证所有素材已导出；选后核对顺序/封面/数量和图像身份。
4. 混入30张旧图及一张新干扰图验证；没有可靠映射时转USER_ACTION_REQUIRED，不再用索引兜底。</t>
        </is>
      </c>
      <c r="E19" s="3" t="inlineStr">
        <is>
          <t>.venv/bin/python -m pytest -q tests/unit/test_xianyu_publish_recipe.py
./mobile/companion/build-external.sh testDebugUnitTest
OnePlus+闲鱼7.27.90执行A/B/C素材和干扰图验收</t>
        </is>
      </c>
      <c r="F19" s="3" t="inlineStr">
        <is>
          <t>实际选中A/B/C且顺序一致；不确定时不提交。</t>
        </is>
      </c>
      <c r="G19" s="3" t="inlineStr">
        <is>
          <t>artifacts/v1/V1-18/</t>
        </is>
      </c>
    </row>
    <row r="20" ht="205" customHeight="1">
      <c r="A20" s="2" t="inlineStr">
        <is>
          <t>V1-19</t>
        </is>
      </c>
      <c r="B20" s="2" t="inlineStr">
        <is>
          <t>闲鱼完整商品预填和预览证据</t>
        </is>
      </c>
      <c r="C20" s="2" t="inlineStr">
        <is>
          <t>services/control-api/src/cloudctl_api/xianyu_publish.py
mobile/companion/app/src/main/java/com/company/cloudctl/companion/automation/TargetLocatorRegistry.kt
contracts/xianyu-publish-text.example.json</t>
        </is>
      </c>
      <c r="D20" s="2" t="inlineStr">
        <is>
          <t>1. 根据实际UI补标题/描述/价格/成色/运费/发货地，字段存在性由当前类目决定。
2. 每次打开面板和确认字段都有后置条件；输入后读回Decimal价格和运费。
3. 显式处理键盘、草稿恢复和权限弹窗；账号检查失败立即暂停。
4. 结束上传预览截图与摘要，标PREPARED而非发布成功；保留用户确认入口。</t>
        </is>
      </c>
      <c r="E20" s="2" t="inlineStr">
        <is>
          <t>.venv/bin/python -m pytest -q tests/unit/test_xianyu_publish_recipe.py
真机单商品三图字段读回、草稿恢复、必填缺失验收</t>
        </is>
      </c>
      <c r="F20" s="2" t="inlineStr">
        <is>
          <t>商品、媒体、价格、运费和账号可逐项核对，预填不触发最终发布。</t>
        </is>
      </c>
      <c r="G20" s="2" t="inlineStr">
        <is>
          <t>artifacts/v1/V1-19/</t>
        </is>
      </c>
    </row>
    <row r="21" ht="205" customHeight="1">
      <c r="A21" s="3" t="inlineStr">
        <is>
          <t>V1-20</t>
        </is>
      </c>
      <c r="B21" s="3" t="inlineStr">
        <is>
          <t>最终提交许可与最多一次执行</t>
        </is>
      </c>
      <c r="C21" s="3" t="inlineStr">
        <is>
          <t>services/control-api/src/cloudctl_api/services.py
services/control-api/src/cloudctl_api/mobile_service.py
services/control-api/src/cloudctl_api/db.py
mobile/companion/app/src/main/java/com/company/cloudctl/companion/data/AutomationStore.kt
mobile/companion/app/src/main/java/com/company/cloudctl/companion/automation/LocalAutomationExecutor.kt</t>
        </is>
      </c>
      <c r="D21" s="3" t="inlineStr">
        <is>
          <t>1. 复用CommitIntent，加target唯一约束/一次提交许可；核对现有attempt_no不能允许第二次最终提交。
2. 许可绑定snapshot/审批/账号/fence/到期；过期、错号、取消请求拒绝。
3. APK先持久化COMMIT_STARTED再点唯一发布节点；该动作不可用通用步骤重试。
4. 分别在许可前、日志落盘后、点击后断网/杀进程，恢复不再次点击。
5. API Publisher采用同等提交账本语义，避免API失败后自动切APK重复发送。</t>
        </is>
      </c>
      <c r="E21" s="3" t="inlineStr">
        <is>
          <t>新增 tests/integration/test_publish_commit_permit.py
.venv/bin/python -m pytest -q tests/integration/test_publish_commit_permit.py
./mobile/companion/build-external.sh testDebugUnitTest
真机提交断点验收（受控内容、用户确认）</t>
        </is>
      </c>
      <c r="F21" s="3" t="inlineStr">
        <is>
          <t>每Target最多一次提交尝试；重复许可/任务/重启均无重复发布。</t>
        </is>
      </c>
      <c r="G21" s="3" t="inlineStr">
        <is>
          <t>artifacts/v1/V1-20/</t>
        </is>
      </c>
    </row>
    <row r="22" ht="205" customHeight="1">
      <c r="A22" s="2" t="inlineStr">
        <is>
          <t>V1-21</t>
        </is>
      </c>
      <c r="B22" s="2" t="inlineStr">
        <is>
          <t>结果对账、审核状态与人工处理</t>
        </is>
      </c>
      <c r="C22" s="2" t="inlineStr">
        <is>
          <t>services/control-api/src/cloudctl_api/services.py
services/control-api/src/cloudctl_api/mobile_service.py
services/temporal-worker/src/cloudctl_worker/
mobile/companion/app/src/main/java/com/company/cloudctl/companion/automation/</t>
        </is>
      </c>
      <c r="D22" s="2" t="inlineStr">
        <is>
          <t>1. 定义结构化平台回执：externalId/url、平台接收/审核/公开状态、证据hash、账号指纹。
2. 闲鱼按当前账号商品列表/详情核对标题图价格；不以一条toast证明成功。
3. 查询有上限和下次时间；超时无证据转UNKNOWN，人工可附结果链接/原因。
4. 人工标记记录操作者、证据和审计，不暗中触发重发。</t>
        </is>
      </c>
      <c r="E22" s="2" t="inlineStr">
        <is>
          <t>新增 tests/integration/test_publish_reconciliation.py
真机成功/平台拒绝/审核中/响应丢失验收</t>
        </is>
      </c>
      <c r="F22" s="2" t="inlineStr">
        <is>
          <t>填表、已接收、审核中、公开成功、未知严格分开；UNKNOWN不自动重发。</t>
        </is>
      </c>
      <c r="G22" s="2" t="inlineStr">
        <is>
          <t>artifacts/v1/V1-21/</t>
        </is>
      </c>
    </row>
    <row r="23" ht="205" customHeight="1">
      <c r="A23" s="3" t="inlineStr">
        <is>
          <t>V1-22</t>
        </is>
      </c>
      <c r="B23" s="3" t="inlineStr">
        <is>
          <t>Web 一次确认发布向导和结果页</t>
        </is>
      </c>
      <c r="C23" s="3" t="inlineStr">
        <is>
          <t>apps/web/src/views/PublishWizardView.vue（新增）
apps/web/src/views/PublishPlanView.vue（新增）
apps/web/src/router.ts
packages/api-contracts/typescript/src/</t>
        </is>
      </c>
      <c r="D23" s="3" t="inlineStr">
        <is>
          <t>1. 独立路由保留planId/targetId，选来源修订、平台账号、媒体和平台覆盖。
2. 调用validate展示每目标previewHash与阻塞字段；用户一次确认后submit。
3. 保存稳定幂等键直到拿到planId；网络重试复用；新计划才生成新键。
4. 结果页刷新读真实API，显示部分失败/审核/UNKNOWN及证据；重试按钮只允许准备阶段。</t>
        </is>
      </c>
      <c r="E23" s="3" t="inlineStr">
        <is>
          <t>pnpm contracts
pnpm typecheck
pnpm --filter @cloudctl/web test
新增真实API+测试数据库的Publish E2E（不拦截所有请求）</t>
        </is>
      </c>
      <c r="F23" s="3" t="inlineStr">
        <is>
          <t>能从真实Product建计划到查看结果；双击无重复；无mock回执；阶段名称准确。</t>
        </is>
      </c>
      <c r="G23" s="3" t="inlineStr">
        <is>
          <t>artifacts/v1/V1-22/</t>
        </is>
      </c>
    </row>
    <row r="24" ht="205" customHeight="1">
      <c r="A24" s="2" t="inlineStr">
        <is>
          <t>V1-23</t>
        </is>
      </c>
      <c r="B24" s="2" t="inlineStr">
        <is>
          <t>平台权限探测与适配器注册合同</t>
        </is>
      </c>
      <c r="C24" s="2" t="inlineStr">
        <is>
          <t>packages/automation-sdk/src/cloudctl_automation_sdk/
services/control-api/src/cloudctl_api/platform_capabilities.py（新增）
docs/v1/platform-capabilities.json（新增）</t>
        </is>
      </c>
      <c r="D24" s="2" t="inlineStr">
        <is>
          <t>1. 记录四平台账号实际授权/scope、渠道、格式、限制、审核方式与文档日期。
2. 定义validate/prepare/before_commit/commit_once/reconcile/cleanup公共合同，禁止API提交后自动切UI。
3. 检查小红书分享SDK是否只唤起分享；公众号需实际后台权限，不能由微信安装推导。
4. 版本未验证/权限未给标UNSUPPORTED或待授权；只阻塞相关平台，不阻塞其他Target。</t>
        </is>
      </c>
      <c r="E24" s="2" t="inlineStr">
        <is>
          <t>新增适配器合同测试：未知平台/错误scope/错误channel/过期版本
逐账号保存脱敏权限探测证据</t>
        </is>
      </c>
      <c r="F24" s="2" t="inlineStr">
        <is>
          <t>每个平台有已证实渠道或明确阻塞；公开资料和账号实际权限分栏。</t>
        </is>
      </c>
      <c r="G24" s="2" t="inlineStr">
        <is>
          <t>artifacts/v1/V1-23/</t>
        </is>
      </c>
    </row>
    <row r="25" ht="205" customHeight="1">
      <c r="A25" s="3" t="inlineStr">
        <is>
          <t>V1-24</t>
        </is>
      </c>
      <c r="B25" s="3" t="inlineStr">
        <is>
          <t>小红书图文发布适配器</t>
        </is>
      </c>
      <c r="C25" s="3" t="inlineStr">
        <is>
          <t>mobile/companion/app/src/main/java/com/company/cloudctl/companion/automation/TargetLocatorRegistry.kt
services/control-api/src/cloudctl_api/publishers/xiaohongshu.py（新增）
docs/compatibility/</t>
        </is>
      </c>
      <c r="D25" s="3" t="inlineStr">
        <is>
          <t>1. 按V1-23选择实际可用分享/API/UI路线；记录能力限制，不安装未经验证第三方私有API。
2. 完成账号核对、精确多图选择、标题正文话题预填、预览。
3. 共用提交许可，唤起分享仅记prepared；最终提交单次执行。
4. 在本账号笔记页对账，记录审核/公开状态；采集发布成功及未知场景证据。</t>
        </is>
      </c>
      <c r="E25" s="3" t="inlineStr">
        <is>
          <t>新增tests/unit/test_xiaohongshu_publisher.py
Android单测及8.50.1真机图文全链路验收</t>
        </is>
      </c>
      <c r="F25" s="3" t="inlineStr">
        <is>
          <t>指定图文发布到指定账号；有外部结果证据；审核中不显示公开成功。</t>
        </is>
      </c>
      <c r="G25" s="3" t="inlineStr">
        <is>
          <t>artifacts/v1/V1-24/</t>
        </is>
      </c>
    </row>
    <row r="26" ht="205" customHeight="1">
      <c r="A26" s="2" t="inlineStr">
        <is>
          <t>V1-25</t>
        </is>
      </c>
      <c r="B26" s="2" t="inlineStr">
        <is>
          <t>抖音视频发布适配器</t>
        </is>
      </c>
      <c r="C26" s="2" t="inlineStr">
        <is>
          <t>services/control-api/src/cloudctl_api/publishers/douyin.py（新增）
mobile/companion/app/src/main/java/com/company/cloudctl/companion/automation/TargetLocatorRegistry.kt
docs/compatibility/</t>
        </is>
      </c>
      <c r="D26" s="2" t="inlineStr">
        <is>
          <t>1. 验证实际OAuth scope；有正式权限用API，否则按已授权UI路线实现。
2. API先上传并保存video_id，UI精确选择指定视频；验证时长/格式/封面，限制来自能力配置。
3. 填写标题/话题/可见范围，生成预览hash；调用共用提交账本。
4. 上传成功不等于发布成功；保存item_id并查询审核/可见状态；请求丢失不再次创建。</t>
        </is>
      </c>
      <c r="E26" s="2" t="inlineStr">
        <is>
          <t>新增tests/unit/test_douyin_publisher.py
对真实授权账户进行单视频发布、超限、授权失效和审核状态验收</t>
        </is>
      </c>
      <c r="F26" s="2" t="inlineStr">
        <is>
          <t>完整视频到指定账号；上传、提交、审核三阶段可追溯；无跨渠道重复。</t>
        </is>
      </c>
      <c r="G26" s="2" t="inlineStr">
        <is>
          <t>artifacts/v1/V1-25/</t>
        </is>
      </c>
    </row>
    <row r="27" ht="205" customHeight="1">
      <c r="A27" s="3" t="inlineStr">
        <is>
          <t>V1-26</t>
        </is>
      </c>
      <c r="B27" s="3" t="inlineStr">
        <is>
          <t>微信公众号文章发布适配器</t>
        </is>
      </c>
      <c r="C27" s="3" t="inlineStr">
        <is>
          <t>services/control-api/src/cloudctl_api/publishers/wechat_official.py（新增）
docs/v1/wechat-permissions.md（新增）</t>
        </is>
      </c>
      <c r="D27" s="3" t="inlineStr">
        <is>
          <t>1. 先从用户公众号后台和官方文档确认草稿/发布/状态查询权限、端点与参数，保存日期；不据第三方博客锁合同。
2. 上传封面和正文图，HTML清洗/内联样式/图片地址替换；生成草稿并预览。
3. 有发布能力才使用共用许可提交，记录publish/article ID和状态；只会创建草稿则标DRAFT_SAVED。
4. 公众号文章发布与粉丝群发分开；无权限则明确阻塞完整发布，按平台后台合法手工流程补验收。</t>
        </is>
      </c>
      <c r="E27" s="3" t="inlineStr">
        <is>
          <t>新增tests/unit/test_wechat_official_publisher.py
真实公众号草稿、发布、状态查询与权限不足验收</t>
        </is>
      </c>
      <c r="F27" s="3" t="inlineStr">
        <is>
          <t>文章发布有可核验URL/ID；只有草稿权限不得把该任务标done。</t>
        </is>
      </c>
      <c r="G27" s="3" t="inlineStr">
        <is>
          <t>artifacts/v1/V1-26/</t>
        </is>
      </c>
    </row>
    <row r="28" ht="205" customHeight="1">
      <c r="A28" s="2" t="inlineStr">
        <is>
          <t>V1-27</t>
        </is>
      </c>
      <c r="B28" s="2" t="inlineStr">
        <is>
          <t>多平台多账号排队与部分失败</t>
        </is>
      </c>
      <c r="C28" s="2" t="inlineStr">
        <is>
          <t>services/control-api/src/cloudctl_api/services.py
services/temporal-worker/src/cloudctl_worker/
apps/web/src/views/PublishPlanView.vue</t>
        </is>
      </c>
      <c r="D28" s="2" t="inlineStr">
        <is>
          <t>1. 同一计划按平台账号展开Target，冻结每个目标内容覆盖。
2. 设备和账号串行；不同设备可并行，默认并发1，配置上限验证。
3. 汇总成功/失败/未知/等待；失败不回滚或重发成功项。
4. 取消只在安全点；恢复后保持原targetId与快照，不创建隐性新目标。</t>
        </is>
      </c>
      <c r="E28" s="2" t="inlineStr">
        <is>
          <t>新增tests/integration/test_multi_platform_publish.py
真实四平台受控批次和一个目标失败场景</t>
        </is>
      </c>
      <c r="F28" s="2" t="inlineStr">
        <is>
          <t>一次确认可排队四平台，部分失败可定位；同设备无并行写；成功项不重复发布。</t>
        </is>
      </c>
      <c r="G28" s="2" t="inlineStr">
        <is>
          <t>artifacts/v1/V1-27/</t>
        </is>
      </c>
    </row>
    <row r="29" ht="205" customHeight="1">
      <c r="A29" s="3" t="inlineStr">
        <is>
          <t>V1-28</t>
        </is>
      </c>
      <c r="B29" s="3" t="inlineStr">
        <is>
          <t>断网重启、无USB和账号异常恢复</t>
        </is>
      </c>
      <c r="C29" s="3" t="inlineStr">
        <is>
          <t>mobile/companion/app/src/main/java/com/company/cloudctl/companion/data/AutomationStore.kt
mobile/companion/app/src/main/java/com/company/cloudctl/companion/service/CompanionSyncService.kt
docs/v1/hardware-acceptance.md（新增）</t>
        </is>
      </c>
      <c r="D29" s="3" t="inlineStr">
        <is>
          <t>1. 手机使用独立网络，断USB并停开发Edge；Web通过HTTPS提交受控计划。
2. 准备中/提交后分别断网和终止进程，核对本地DB与云端事件。
3. 测试权限关闭、锁屏、电量限制、存储不足、App版本变化，显示可恢复原因而非无限重试。
4. 执行24h观察，记录送达率/耗时/未知率和故障；不将一台手机外推所有Android。</t>
        </is>
      </c>
      <c r="E29" s="3" t="inlineStr">
        <is>
          <t>实施方案A06-A18真实验收，日志包含设备/版本/task/target/时间和hash</t>
        </is>
      </c>
      <c r="F29" s="3" t="inlineStr">
        <is>
          <t>无USB任务能独立运行；提交不重复；账号异常暂停；24h报告可复核。</t>
        </is>
      </c>
      <c r="G29" s="3" t="inlineStr">
        <is>
          <t>artifacts/v1/V1-28/</t>
        </is>
      </c>
    </row>
    <row r="30" ht="205" customHeight="1">
      <c r="A30" s="2" t="inlineStr">
        <is>
          <t>V1-29</t>
        </is>
      </c>
      <c r="B30" s="2" t="inlineStr">
        <is>
          <t>Release 构建、部署备份与回滚</t>
        </is>
      </c>
      <c r="C30" s="2" t="inlineStr">
        <is>
          <t>mobile/companion/app/build.gradle.kts
infra/
scripts/backup.sh
scripts/restore.sh
docs/runbooks/</t>
        </is>
      </c>
      <c r="D30" s="2" t="inlineStr">
        <is>
          <t>1. 配置release signing secret_ref、递增versionCode；产物记录SHA和签名摘要，debuggable=false。
2. 生产认证关闭dev bypass；前端固定角色改为真实会话/权限，API地址和TLS指纹改环境配置；验证租户隔离、API TLS、对象存储和后台任务环境。
3. 在测试部署做PG备份恢复和schema回滚/前滚演练；不在用户真实库试破坏性迁移。
4. 安装同签名升级验证绑定/任务保留，记录回滚可行性，不强制换签名或降级。</t>
        </is>
      </c>
      <c r="E30" s="2" t="inlineStr">
        <is>
          <t>release assemble/lint（签名由实际环境注入）
adb shell dumpsys package com.company.cloudctl.companion（验版本与flags）
隔离环境备份恢复及灰度运行检查</t>
        </is>
      </c>
      <c r="F30" s="2" t="inlineStr">
        <is>
          <t>安装可核对release；部署摘要对应源码；有已演练恢复步骤。</t>
        </is>
      </c>
      <c r="G30" s="2" t="inlineStr">
        <is>
          <t>artifacts/v1/V1-29/</t>
        </is>
      </c>
    </row>
    <row r="31" ht="205" customHeight="1">
      <c r="A31" s="3" t="inlineStr">
        <is>
          <t>V1-30</t>
        </is>
      </c>
      <c r="B31" s="3" t="inlineStr">
        <is>
          <t>完整V1业务验收和来源回写</t>
        </is>
      </c>
      <c r="C31" s="3" t="inlineStr">
        <is>
          <t>docs/v1/acceptance-report.md（新增）
docs/v1/tasks.json
docs/v1/03-逐项任务卡.md</t>
        </is>
      </c>
      <c r="D31" s="3" t="inlineStr">
        <is>
          <t>1. 从用户真实来源库选新商品/素材，经Web一次确认发往四个已授权目标。
2. 逐目标核对账号、内容、素材、平台结果URL/ID；审核尚未结束的保持进行中。
3. 可选来源回写target结果，失败重试仅回写，不重新发布；不给来源覆盖内容字段。
4. 按八个里程碑更新证据覆盖，只将全部通过者标done；整理操作说明、错误处理和后续范围。</t>
        </is>
      </c>
      <c r="E31" s="3" t="inlineStr">
        <is>
          <t>执行实施方案A01-A18；复核所有任务依赖、日志、证据和构建摘要</t>
        </is>
      </c>
      <c r="F31" s="3" t="inlineStr">
        <is>
          <t>8个完整业务里程碑均有证据；四平台都能明确区分草稿/审核/公开结果；用户能独立操作。</t>
        </is>
      </c>
      <c r="G31" s="3" t="inlineStr">
        <is>
          <t>artifacts/v1/V1-30/</t>
        </is>
      </c>
    </row>
  </sheetData>
  <autoFilter ref="A1:G31"/>
  <printOptions horizontalCentered="1"/>
  <pageMargins left="0.75" right="0.75" top="1" bottom="1" header="0.5" footer="0.5"/>
  <pageSetup orientation="landscape" paperSize="8" fitToHeight="0" fitToWidth="1"/>
  <headerFooter>
    <oddHeader/>
    <oddFooter>&amp;C第 &amp;P 页 / 共 &amp;N 页&amp;R2026-09-05 重审基线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17324D"/>
    <outlinePr summaryBelow="1" summaryRight="1"/>
    <pageSetUpPr fitToPage="1"/>
  </sheetPr>
  <dimension ref="A1:F7"/>
  <sheetViews>
    <sheetView showGridLines="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70" customWidth="1" min="2" max="2"/>
    <col width="14" customWidth="1" min="3" max="3"/>
    <col width="14" customWidth="1" min="4" max="4"/>
    <col width="58" customWidth="1" min="5" max="5"/>
    <col width="62" customWidth="1" min="6" max="6"/>
  </cols>
  <sheetData>
    <row r="1" ht="32" customHeight="1">
      <c r="A1" s="1" t="inlineStr">
        <is>
          <t>阶段</t>
        </is>
      </c>
      <c r="B1" s="1" t="inlineStr">
        <is>
          <t>任务范围</t>
        </is>
      </c>
      <c r="C1" s="1" t="inlineStr">
        <is>
          <t>下限人日</t>
        </is>
      </c>
      <c r="D1" s="1" t="inlineStr">
        <is>
          <t>上限人日</t>
        </is>
      </c>
      <c r="E1" s="1" t="inlineStr">
        <is>
          <t>交付门</t>
        </is>
      </c>
      <c r="F1" s="1" t="inlineStr">
        <is>
          <t>外部等待</t>
        </is>
      </c>
    </row>
    <row r="2" ht="66" customHeight="1">
      <c r="A2" s="2" t="inlineStr">
        <is>
          <t>M0 基线</t>
        </is>
      </c>
      <c r="B2" s="2" t="inlineStr">
        <is>
          <t>V1-01, V1-02, V1-03, V1-04</t>
        </is>
      </c>
      <c r="C2" s="2" t="n">
        <v>2.5</v>
      </c>
      <c r="D2" s="2" t="n">
        <v>5</v>
      </c>
      <c r="E2" s="2" t="inlineStr">
        <is>
          <t>来源盘点、设备健康、工程门</t>
        </is>
      </c>
      <c r="F2" s="2" t="inlineStr">
        <is>
          <t>账号权限/库入口/平台审核按实际等待，未计入人日</t>
        </is>
      </c>
    </row>
    <row r="3" ht="66" customHeight="1">
      <c r="A3" s="3" t="inlineStr">
        <is>
          <t>M1 来源与内容</t>
        </is>
      </c>
      <c r="B3" s="3" t="inlineStr">
        <is>
          <t>V1-05, V1-06, V1-07, V1-08, V1-09, V1-10, V1-11</t>
        </is>
      </c>
      <c r="C3" s="3" t="n">
        <v>8.5</v>
      </c>
      <c r="D3" s="3" t="n">
        <v>16</v>
      </c>
      <c r="E3" s="3" t="inlineStr">
        <is>
          <t>真实库同步+商品素材可编辑</t>
        </is>
      </c>
      <c r="F3" s="3" t="inlineStr">
        <is>
          <t>账号权限/库入口/平台审核按实际等待，未计入人日</t>
        </is>
      </c>
    </row>
    <row r="4" ht="66" customHeight="1">
      <c r="A4" s="2" t="inlineStr">
        <is>
          <t>M2 发布核心</t>
        </is>
      </c>
      <c r="B4" s="2" t="inlineStr">
        <is>
          <t>V1-12, V1-13, V1-14, V1-15, V1-16, V1-17</t>
        </is>
      </c>
      <c r="C4" s="2" t="n">
        <v>9</v>
      </c>
      <c r="D4" s="2" t="n">
        <v>17</v>
      </c>
      <c r="E4" s="2" t="inlineStr">
        <is>
          <t>冻结快照+互斥+APK收件/媒体授权</t>
        </is>
      </c>
      <c r="F4" s="2" t="inlineStr">
        <is>
          <t>账号权限/库入口/平台审核按实际等待，未计入人日</t>
        </is>
      </c>
    </row>
    <row r="5" ht="66" customHeight="1">
      <c r="A5" s="3" t="inlineStr">
        <is>
          <t>M3 闲鱼</t>
        </is>
      </c>
      <c r="B5" s="3" t="inlineStr">
        <is>
          <t>V1-18, V1-19, V1-20, V1-21, V1-22</t>
        </is>
      </c>
      <c r="C5" s="3" t="n">
        <v>9</v>
      </c>
      <c r="D5" s="3" t="n">
        <v>17</v>
      </c>
      <c r="E5" s="3" t="inlineStr">
        <is>
          <t>正确预填→一次提交→结果对账</t>
        </is>
      </c>
      <c r="F5" s="3" t="inlineStr">
        <is>
          <t>账号权限/库入口/平台审核按实际等待，未计入人日</t>
        </is>
      </c>
    </row>
    <row r="6" ht="66" customHeight="1">
      <c r="A6" s="2" t="inlineStr">
        <is>
          <t>M4 三内容平台</t>
        </is>
      </c>
      <c r="B6" s="2" t="inlineStr">
        <is>
          <t>V1-23, V1-24, V1-25, V1-26</t>
        </is>
      </c>
      <c r="C6" s="2" t="n">
        <v>10</v>
      </c>
      <c r="D6" s="2" t="n">
        <v>17</v>
      </c>
      <c r="E6" s="2" t="inlineStr">
        <is>
          <t>小红书/抖音/公众号分别验收</t>
        </is>
      </c>
      <c r="F6" s="2" t="inlineStr">
        <is>
          <t>账号权限/库入口/平台审核按实际等待，未计入人日</t>
        </is>
      </c>
    </row>
    <row r="7" ht="66" customHeight="1">
      <c r="A7" s="3" t="inlineStr">
        <is>
          <t>M5 完整V1</t>
        </is>
      </c>
      <c r="B7" s="3" t="inlineStr">
        <is>
          <t>V1-27, V1-28, V1-29, V1-30</t>
        </is>
      </c>
      <c r="C7" s="3" t="n">
        <v>6</v>
      </c>
      <c r="D7" s="3" t="n">
        <v>12</v>
      </c>
      <c r="E7" s="3" t="inlineStr">
        <is>
          <t>四平台批次+恢复+release+8里程碑</t>
        </is>
      </c>
      <c r="F7" s="3" t="inlineStr">
        <is>
          <t>账号权限/库入口/平台审核按实际等待，未计入人日</t>
        </is>
      </c>
    </row>
  </sheetData>
  <autoFilter ref="A1:F7"/>
  <printOptions horizontalCentered="1"/>
  <pageMargins left="0.75" right="0.75" top="1" bottom="1" header="0.5" footer="0.5"/>
  <pageSetup orientation="landscape" paperSize="8" fitToHeight="0" fitToWidth="1"/>
  <headerFooter>
    <oddHeader/>
    <oddFooter>&amp;C第 &amp;P 页 / 共 &amp;N 页&amp;R2026-09-05 重审基线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17324D"/>
    <outlinePr summaryBelow="1" summaryRight="1"/>
    <pageSetUpPr fitToPage="1"/>
  </sheetPr>
  <dimension ref="A1:F11"/>
  <sheetViews>
    <sheetView showGridLines="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50" customWidth="1" min="2" max="2"/>
    <col width="72" customWidth="1" min="3" max="3"/>
    <col width="22" customWidth="1" min="4" max="4"/>
    <col width="48" customWidth="1" min="5" max="5"/>
    <col width="25" customWidth="1" min="6" max="6"/>
  </cols>
  <sheetData>
    <row r="1" ht="32" customHeight="1">
      <c r="A1" s="1" t="inlineStr">
        <is>
          <t>能力</t>
        </is>
      </c>
      <c r="B1" s="1" t="inlineStr">
        <is>
          <t>已有实现</t>
        </is>
      </c>
      <c r="C1" s="1" t="inlineStr">
        <is>
          <t>缺口</t>
        </is>
      </c>
      <c r="D1" s="1" t="inlineStr">
        <is>
          <t>任务</t>
        </is>
      </c>
      <c r="E1" s="1" t="inlineStr">
        <is>
          <t>代码证据</t>
        </is>
      </c>
      <c r="F1" s="1" t="inlineStr">
        <is>
          <t>本轮状态</t>
        </is>
      </c>
    </row>
    <row r="2" ht="72" customHeight="1">
      <c r="A2" s="2" t="inlineStr">
        <is>
          <t>来源库连接</t>
        </is>
      </c>
      <c r="B2" s="2" t="inlineStr">
        <is>
          <t>未发现完整实现</t>
        </is>
      </c>
      <c r="C2" s="2" t="inlineStr">
        <is>
          <t>待确认用户现有库类型及只读入口</t>
        </is>
      </c>
      <c r="D2" s="2" t="inlineStr">
        <is>
          <t>V1-03~07</t>
        </is>
      </c>
      <c r="E2" s="2" t="inlineStr">
        <is>
          <t>source检索；01审核F10</t>
        </is>
      </c>
      <c r="F2" s="2" t="inlineStr">
        <is>
          <t>未验收</t>
        </is>
      </c>
    </row>
    <row r="3" ht="72" customHeight="1">
      <c r="A3" s="3" t="inlineStr">
        <is>
          <t>商品领域</t>
        </is>
      </c>
      <c r="B3" s="3" t="inlineStr">
        <is>
          <t>已有独立Product/Media及CRUD</t>
        </is>
      </c>
      <c r="C3" s="3" t="inlineStr">
        <is>
          <t>Product与Content下发断点、原子保存、历史修订</t>
        </is>
      </c>
      <c r="D3" s="3" t="inlineStr">
        <is>
          <t>V1-10/14</t>
        </is>
      </c>
      <c r="E3" s="3" t="inlineStr">
        <is>
          <t>db.py；OperationsView.vue</t>
        </is>
      </c>
      <c r="F3" s="3" t="inlineStr">
        <is>
          <t>软件基础已有</t>
        </is>
      </c>
    </row>
    <row r="4" ht="72" customHeight="1">
      <c r="A4" s="2" t="inlineStr">
        <is>
          <t>素材领域</t>
        </is>
      </c>
      <c r="B4" s="2" t="inlineStr">
        <is>
          <t>上传/去重/标签/分组已有</t>
        </is>
      </c>
      <c r="C4" s="2" t="inlineStr">
        <is>
          <t>来源同步、处理就绪、可视化选择</t>
        </is>
      </c>
      <c r="D4" s="2" t="inlineStr">
        <is>
          <t>V1-08/09</t>
        </is>
      </c>
      <c r="E4" s="2" t="inlineStr">
        <is>
          <t>media_store.py；迁移0010</t>
        </is>
      </c>
      <c r="F4" s="2" t="inlineStr">
        <is>
          <t>软件基础已有</t>
        </is>
      </c>
    </row>
    <row r="5" ht="72" customHeight="1">
      <c r="A5" s="3" t="inlineStr">
        <is>
          <t>内容修订</t>
        </is>
      </c>
      <c r="B5" s="3" t="inlineStr">
        <is>
          <t>已有ContentRevision与媒体关联</t>
        </is>
      </c>
      <c r="C5" s="3" t="inlineStr">
        <is>
          <t>三平台覆盖、格式校验、公众号HTML</t>
        </is>
      </c>
      <c r="D5" s="3" t="inlineStr">
        <is>
          <t>V1-11</t>
        </is>
      </c>
      <c r="E5" s="3" t="inlineStr">
        <is>
          <t>content_payload.py；迁移0011</t>
        </is>
      </c>
      <c r="F5" s="3" t="inlineStr">
        <is>
          <t>软件基础已有</t>
        </is>
      </c>
    </row>
    <row r="6" ht="72" customHeight="1">
      <c r="A6" s="2" t="inlineStr">
        <is>
          <t>账号设备</t>
        </is>
      </c>
      <c r="B6" s="2" t="inlineStr">
        <is>
          <t>记录绑定及API已有</t>
        </is>
      </c>
      <c r="C6" s="2" t="inlineStr">
        <is>
          <t>真实账号指纹/scope/无障碍权限</t>
        </is>
      </c>
      <c r="D6" s="2" t="inlineStr">
        <is>
          <t>V1-04/12</t>
        </is>
      </c>
      <c r="E6" s="2" t="inlineStr">
        <is>
          <t>mobile_service.py；device.json</t>
        </is>
      </c>
      <c r="F6" s="2" t="inlineStr">
        <is>
          <t>未真实闭环</t>
        </is>
      </c>
    </row>
    <row r="7" ht="72" customHeight="1">
      <c r="A7" s="3" t="inlineStr">
        <is>
          <t>手机投递</t>
        </is>
      </c>
      <c r="B7" s="3" t="inlineStr">
        <is>
          <t>下载hash校验与相册导出已有</t>
        </is>
      </c>
      <c r="C7" s="3" t="inlineStr">
        <is>
          <t>任务级授权/URI与选择项对应/大文件</t>
        </is>
      </c>
      <c r="D7" s="3" t="inlineStr">
        <is>
          <t>V1-17/18</t>
        </is>
      </c>
      <c r="E7" s="3" t="inlineStr">
        <is>
          <t>MediaDeliveryCoordinator.kt</t>
        </is>
      </c>
      <c r="F7" s="3" t="inlineStr">
        <is>
          <t>未真机验收</t>
        </is>
      </c>
    </row>
    <row r="8" ht="72" customHeight="1">
      <c r="A8" s="2" t="inlineStr">
        <is>
          <t>发布编排</t>
        </is>
      </c>
      <c r="B8" s="2" t="inlineStr">
        <is>
          <t>Plan/Target/Snapshot/Outbox/Intent已有</t>
        </is>
      </c>
      <c r="C8" s="2" t="inlineStr">
        <is>
          <t>APK提交保护、统一结果语义、多目标</t>
        </is>
      </c>
      <c r="D8" s="2" t="inlineStr">
        <is>
          <t>V1-13~22</t>
        </is>
      </c>
      <c r="E8" s="2" t="inlineStr">
        <is>
          <t>db.py；services.py</t>
        </is>
      </c>
      <c r="F8" s="2" t="inlineStr">
        <is>
          <t>未真实闭环</t>
        </is>
      </c>
    </row>
    <row r="9" ht="72" customHeight="1">
      <c r="A9" s="3" t="inlineStr">
        <is>
          <t>闲鱼</t>
        </is>
      </c>
      <c r="B9" s="3" t="inlineStr">
        <is>
          <t>字段预填和选图配方</t>
        </is>
      </c>
      <c r="C9" s="3" t="inlineStr">
        <is>
          <t>Web资源断点/选错图/最终提交/对账</t>
        </is>
      </c>
      <c r="D9" s="3" t="inlineStr">
        <is>
          <t>V1-18~22</t>
        </is>
      </c>
      <c r="E9" s="3" t="inlineStr">
        <is>
          <t>xianyu_publish.py</t>
        </is>
      </c>
      <c r="F9" s="3" t="inlineStr">
        <is>
          <t>未真实发布验收</t>
        </is>
      </c>
    </row>
    <row r="10" ht="72" customHeight="1">
      <c r="A10" s="2" t="inlineStr">
        <is>
          <t>小红书/抖音/公众号</t>
        </is>
      </c>
      <c r="B10" s="2" t="inlineStr">
        <is>
          <t>App已安装；内容基础可复用</t>
        </is>
      </c>
      <c r="C10" s="2" t="inlineStr">
        <is>
          <t>执行器与实际账号权限尚待实现/确认</t>
        </is>
      </c>
      <c r="D10" s="2" t="inlineStr">
        <is>
          <t>V1-23~26</t>
        </is>
      </c>
      <c r="E10" s="2" t="inlineStr">
        <is>
          <t>TargetLocatorRegistry.kt；device.json</t>
        </is>
      </c>
      <c r="F10" s="2" t="inlineStr">
        <is>
          <t>未真实发布验收</t>
        </is>
      </c>
    </row>
    <row r="11" ht="72" customHeight="1">
      <c r="A11" s="3" t="inlineStr">
        <is>
          <t>上线</t>
        </is>
      </c>
      <c r="B11" s="3" t="inlineStr">
        <is>
          <t>调试APK和部署脚本已有</t>
        </is>
      </c>
      <c r="C11" s="3" t="inlineStr">
        <is>
          <t>真实会话/release/备份恢复/无USB验证</t>
        </is>
      </c>
      <c r="D11" s="3" t="inlineStr">
        <is>
          <t>V1-28~30</t>
        </is>
      </c>
      <c r="E11" s="3" t="inlineStr">
        <is>
          <t>build.gradle.kts；session.ts</t>
        </is>
      </c>
      <c r="F11" s="3" t="inlineStr">
        <is>
          <t>未验收</t>
        </is>
      </c>
    </row>
  </sheetData>
  <autoFilter ref="A1:F11"/>
  <printOptions horizontalCentered="1"/>
  <pageMargins left="0.75" right="0.75" top="1" bottom="1" header="0.5" footer="0.5"/>
  <pageSetup orientation="landscape" paperSize="8" fitToHeight="0" fitToWidth="1"/>
  <headerFooter>
    <oddHeader/>
    <oddFooter>&amp;C第 &amp;P 页 / 共 &amp;N 页&amp;R2026-09-05 重审基线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17324D"/>
    <outlinePr summaryBelow="1" summaryRight="1"/>
    <pageSetUpPr fitToPage="1"/>
  </sheetPr>
  <dimension ref="A1:F13"/>
  <sheetViews>
    <sheetView showGridLines="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55" customWidth="1" min="3" max="3"/>
    <col width="130" customWidth="1" min="4" max="4"/>
    <col width="45" customWidth="1" min="5" max="5"/>
    <col width="24" customWidth="1" min="6" max="6"/>
  </cols>
  <sheetData>
    <row r="1" ht="32" customHeight="1">
      <c r="A1" s="1" t="inlineStr">
        <is>
          <t>ID</t>
        </is>
      </c>
      <c r="B1" s="1" t="inlineStr">
        <is>
          <t>优先级</t>
        </is>
      </c>
      <c r="C1" s="1" t="inlineStr">
        <is>
          <t>问题</t>
        </is>
      </c>
      <c r="D1" s="1" t="inlineStr">
        <is>
          <t>证据与影响</t>
        </is>
      </c>
      <c r="E1" s="1" t="inlineStr">
        <is>
          <t>证据口径</t>
        </is>
      </c>
      <c r="F1" s="1" t="inlineStr">
        <is>
          <t>状态</t>
        </is>
      </c>
    </row>
    <row r="2" ht="190" customHeight="1">
      <c r="A2" s="2" t="inlineStr">
        <is>
          <t>F01</t>
        </is>
      </c>
      <c r="B2" s="2" t="inlineStr">
        <is>
          <t>P0</t>
        </is>
      </c>
      <c r="C2" s="2" t="inlineStr">
        <is>
          <t>商品保存和闲鱼下发使用不同资源类型</t>
        </is>
      </c>
      <c r="D2" s="2" t="inlineStr">
        <is>
          <t>`OperationsView.vue:saveContentRecord` 调 `createProduct/updateProduct`，将 Product ID 放入 `selectedPostId`。`dispatchSavedPost` 却调 `dispatchContentToXianyu(selectedPostId)`；后端 `services.py:dispatch_post_to_xianyu` 用 `repository.content(content_id)` 读取 Content。
推断：新建商品直接点击下发，可能返回找不到 Content；极端 ID 混用也有读错资源的语义风险。代码路径矛盾已确认，具体 UI 错误码尚未用真实业务数据复现。修复应建立 Product → 冻结快照 → 发布目标的正确入口，不把 Product ID 伪装成 Content ID。任务 V1-10、V1-14。</t>
        </is>
      </c>
      <c r="E2" s="2" t="inlineStr">
        <is>
          <t>静态证据+本轮运行；具体限制见正文</t>
        </is>
      </c>
      <c r="F2" s="2" t="inlineStr">
        <is>
          <t>待实施修复</t>
        </is>
      </c>
    </row>
    <row r="3" ht="190" customHeight="1">
      <c r="A3" s="3" t="inlineStr">
        <is>
          <t>F02</t>
        </is>
      </c>
      <c r="B3" s="3" t="inlineStr">
        <is>
          <t>P0</t>
        </is>
      </c>
      <c r="C3" s="3" t="inlineStr">
        <is>
          <t>不能保证选中的就是任务媒体</t>
        </is>
      </c>
      <c r="D3" s="3" t="inlineStr">
        <is>
          <t>`xianyu_publish.py:build_text_publish_task` 生成 `xianyu_gallery_select_0..N`；`TargetLocatorRegistry.kt` 将它解析为第 N 个“选择”节点。`MediaDeliveryCoordinator.kt` 虽记录导出的 URI，但配方没有消费 URI 与选择节点的对应关系。
推断：已有照片、系统相机入口、倒序排序或其他应用新写照片可能改变索引，导致顺序颠倒或选错图片。尚未做真机错图复现，因此记为高风险设计缺口。验收必须混入干扰图片，逐张核对所选内容，不能只验“图片数相同”。任务 V1-18。</t>
        </is>
      </c>
      <c r="E3" s="3" t="inlineStr">
        <is>
          <t>静态证据+本轮运行；具体限制见正文</t>
        </is>
      </c>
      <c r="F3" s="3" t="inlineStr">
        <is>
          <t>待实施修复</t>
        </is>
      </c>
    </row>
    <row r="4" ht="190" customHeight="1">
      <c r="A4" s="2" t="inlineStr">
        <is>
          <t>F03</t>
        </is>
      </c>
      <c r="B4" s="2" t="inlineStr">
        <is>
          <t>P0</t>
        </is>
      </c>
      <c r="C4" s="2" t="inlineStr">
        <is>
          <t>预填完成不能算商品发布成功</t>
        </is>
      </c>
      <c r="D4" s="2" t="inlineStr">
        <is>
          <t>`xianyu_publish.py` 最后是截图与 `XIANYU_PUBLISH_FORM_READY`；下发接口明确返回 `tapsPublish: false`。APK 的任务成功只说明步骤完成。PublishTarget 的成功必须来自平台发布结果与内容身份对账，不能直接复制 MobileTask 的 `SUCCEEDED`。任务 V1-13、V1-20、V1-21。</t>
        </is>
      </c>
      <c r="E4" s="2" t="inlineStr">
        <is>
          <t>静态证据+本轮运行；具体限制见正文</t>
        </is>
      </c>
      <c r="F4" s="2" t="inlineStr">
        <is>
          <t>待实施修复</t>
        </is>
      </c>
    </row>
    <row r="5" ht="190" customHeight="1">
      <c r="A5" s="3" t="inlineStr">
        <is>
          <t>F04</t>
        </is>
      </c>
      <c r="B5" s="3" t="inlineStr">
        <is>
          <t>P0</t>
        </is>
      </c>
      <c r="C5" s="3" t="inlineStr">
        <is>
          <t>当前 APK 不是可执行验收状态</t>
        </is>
      </c>
      <c r="D5" s="3" t="inlineStr">
        <is>
          <t>ADB 读取到 OnePlus LE2100、Android 14；Companion 0.1.0/versionCode 1 为 DEBUGGABLE，最后更新 2026-09-05 19:08:17。已启用无障碍服务列表不含本项目服务。现有设备足以开始验收准备，但仍需确认绑定环境、启用服务、核对账号并建立受控任务。
闲鱼 7.27.90、小红书 8.50.1、抖音 39.6.0、微信 8.0.76 均已安装。安装微信不能证明具备公众号管理或接口权限。设备原始摘要见 `device.json`。本轮没有发布内容、改变平台账号、安装 APK 或调整无障碍设置。任务 V1-04。</t>
        </is>
      </c>
      <c r="E5" s="3" t="inlineStr">
        <is>
          <t>静态证据+本轮运行；具体限制见正文</t>
        </is>
      </c>
      <c r="F5" s="3" t="inlineStr">
        <is>
          <t>待实施修复</t>
        </is>
      </c>
    </row>
    <row r="6" ht="190" customHeight="1">
      <c r="A6" s="2" t="inlineStr">
        <is>
          <t>F05</t>
        </is>
      </c>
      <c r="B6" s="2" t="inlineStr">
        <is>
          <t>P1</t>
        </is>
      </c>
      <c r="C6" s="2" t="inlineStr">
        <is>
          <t>媒体授权仅到租户，未与任务绑定</t>
        </is>
      </c>
      <c r="D6" s="2" t="inlineStr">
        <is>
          <t>`mobile_service.py:media_manifest/download_media` 核查资产所属租户，未以 `taskId + deliveryId + deviceId` 验证该设备是否被授予该资产。已绑定设备可申请同租户其他已知 ID 的资产；是否超出预期权限取决于设备信任模型。首版按最小授权设计，限定下载清单、绑定快照哈希并校验过期/撤销。任务 V1-17。</t>
        </is>
      </c>
      <c r="E6" s="2" t="inlineStr">
        <is>
          <t>静态证据+本轮运行；具体限制见正文</t>
        </is>
      </c>
      <c r="F6" s="2" t="inlineStr">
        <is>
          <t>待实施修复</t>
        </is>
      </c>
    </row>
    <row r="7" ht="190" customHeight="1">
      <c r="A7" s="3" t="inlineStr">
        <is>
          <t>F06</t>
        </is>
      </c>
      <c r="B7" s="3" t="inlineStr">
        <is>
          <t>P1</t>
        </is>
      </c>
      <c r="C7" s="3" t="inlineStr">
        <is>
          <t>架构、文案和实现互相滞后</t>
        </is>
      </c>
      <c r="D7" s="3" t="inlineStr">
        <is>
          <t>旧架构要求设备动作经 LAMDA，已接受 ADR 0003 又确定 APK 本地无障碍执行；README 仍以 mock/Edge 为主要说明。Web 文案称没有媒体投递，而 APK 已有对应代码。把“新建 Product 表/媒体投递从零实现”继续列为未开始会重复开发。先统一 ADR、能力名称和文档入口，保留已实现资产。任务 V1-02。</t>
        </is>
      </c>
      <c r="E7" s="3" t="inlineStr">
        <is>
          <t>静态证据+本轮运行；具体限制见正文</t>
        </is>
      </c>
      <c r="F7" s="3" t="inlineStr">
        <is>
          <t>待实施修复</t>
        </is>
      </c>
    </row>
    <row r="8" ht="190" customHeight="1">
      <c r="A8" s="2" t="inlineStr">
        <is>
          <t>F07</t>
        </is>
      </c>
      <c r="B8" s="2" t="inlineStr">
        <is>
          <t>P1</t>
        </is>
      </c>
      <c r="C8" s="2" t="inlineStr">
        <is>
          <t>工程质量门未全部通过</t>
        </is>
      </c>
      <c r="D8" s="2" t="inlineStr">
        <is>
          <t>本轮原始结果：Ruff 24 个问题、format 27 个文件、Pyright 12 个错误、Web lint 5 个错误。清理了测试中一个无用解构变量后应重新记录 lint 数量，不能拿修改前数量当修改后结果。
Pyright 错误主要在 Edge 调试协议及 Outbox sink 配置；不等于四平台主链都坏了，但会阻塞声明“全量验证通过”。测试名包含 replay 的文件主要检查 AST、重试策略和内存后端，不能替代真实 Temporal 历史重放。迁移测试使用 SQLite，不能替代 PostgreSQL 迁移/并发验收。任务 V1-01、V1-15。</t>
        </is>
      </c>
      <c r="E8" s="2" t="inlineStr">
        <is>
          <t>静态证据+本轮运行；具体限制见正文</t>
        </is>
      </c>
      <c r="F8" s="2" t="inlineStr">
        <is>
          <t>待实施修复</t>
        </is>
      </c>
    </row>
    <row r="9" ht="190" customHeight="1">
      <c r="A9" s="3" t="inlineStr">
        <is>
          <t>F08</t>
        </is>
      </c>
      <c r="B9" s="3" t="inlineStr">
        <is>
          <t>P1</t>
        </is>
      </c>
      <c r="C9" s="3" t="inlineStr">
        <is>
          <t>安全扫描显示通过但扫描过程报错</t>
        </is>
      </c>
      <c r="D9" s="3" t="inlineStr">
        <is>
          <t>`scripts/check-security-boundaries.sh` 输出 “Security boundary checks passed.”，同时出现 `grep: empty (sub)expression`。该脚本包含 BSD grep 不兼容的空分支表达式，扫描 glob 也需核对。退出码 0 不足以证明所有规则执行成功。应改成明确匹配与错误传播，用临时夹具证明正常内容通过、每种违规内容失败、扫描器报错本身失败。任务 V1-01。</t>
        </is>
      </c>
      <c r="E9" s="3" t="inlineStr">
        <is>
          <t>静态证据+本轮运行；具体限制见正文</t>
        </is>
      </c>
      <c r="F9" s="3" t="inlineStr">
        <is>
          <t>待实施修复</t>
        </is>
      </c>
    </row>
    <row r="10" ht="190" customHeight="1">
      <c r="A10" s="2" t="inlineStr">
        <is>
          <t>F09</t>
        </is>
      </c>
      <c r="B10" s="2" t="inlineStr">
        <is>
          <t>P1</t>
        </is>
      </c>
      <c r="C10" s="2" t="inlineStr">
        <is>
          <t>默认 E2E 可复用别的项目</t>
        </is>
      </c>
      <c r="D10" s="2" t="inlineStr">
        <is>
          <t>`playwright.config.ts` 设置 4173、`reuseExistingServer: true`。本轮端口实际返回其他项目登录页，测试截图显示 AutoJs6，当前源码没有该页面。原结果属于环境污染，不能列为本项目功能失败。独立端口复核见验证结果文件。修复为独占端口、strictPort 和应用身份检查。产品专用 E2E 依赖其配置启用 API，默认套件不应无条件混跑。任务 V1-01。</t>
        </is>
      </c>
      <c r="E10" s="2" t="inlineStr">
        <is>
          <t>静态证据+本轮运行；具体限制见正文</t>
        </is>
      </c>
      <c r="F10" s="2" t="inlineStr">
        <is>
          <t>待实施修复</t>
        </is>
      </c>
    </row>
    <row r="11" ht="190" customHeight="1">
      <c r="A11" s="3" t="inlineStr">
        <is>
          <t>F10</t>
        </is>
      </c>
      <c r="B11" s="3" t="inlineStr">
        <is>
          <t>P1</t>
        </is>
      </c>
      <c r="C11" s="3" t="inlineStr">
        <is>
          <t>未发现用户现有素材库/商品库连接器</t>
        </is>
      </c>
      <c r="D11" s="3" t="inlineStr">
        <is>
          <t>在 services、packages 和 Web 源码中检索 feishu/bitable/lark/source_system/external_id/connector，没有找到对应业务实现。此证据只能说明这些命名下未找到，不能证明所有外部集成绝对不存在。现有库在哪里、使用什么表结构、如何拿附件、如何增量同步均未知。必须先做 V1-03，不能把“本系统能建商品”写成“接上用户商品库”。</t>
        </is>
      </c>
      <c r="E11" s="3" t="inlineStr">
        <is>
          <t>静态证据+本轮运行；具体限制见正文</t>
        </is>
      </c>
      <c r="F11" s="3" t="inlineStr">
        <is>
          <t>待实施修复</t>
        </is>
      </c>
    </row>
    <row r="12" ht="190" customHeight="1">
      <c r="A12" s="2" t="inlineStr">
        <is>
          <t>F11</t>
        </is>
      </c>
      <c r="B12" s="2" t="inlineStr">
        <is>
          <t>P2</t>
        </is>
      </c>
      <c r="C12" s="2" t="inlineStr">
        <is>
          <t>商品与媒体的两次保存可能部分完成</t>
        </is>
      </c>
      <c r="D12" s="2" t="inlineStr">
        <is>
          <t>Web 先更新商品，再调用媒体排序接口。第二次失败时第一次已提交；界面需明确哪些内容保存成功，下一次重试需使用最新 revision。建议首版使用一个原子保存用例，保留现有接口兼容性，新增失败和并发回归。任务 V1-10。</t>
        </is>
      </c>
      <c r="E12" s="2" t="inlineStr">
        <is>
          <t>静态证据+本轮运行；具体限制见正文</t>
        </is>
      </c>
      <c r="F12" s="2" t="inlineStr">
        <is>
          <t>待实施修复</t>
        </is>
      </c>
    </row>
    <row r="13" ht="190" customHeight="1">
      <c r="A13" s="3" t="inlineStr">
        <is>
          <t>F12</t>
        </is>
      </c>
      <c r="B13" s="3" t="inlineStr">
        <is>
          <t>P1</t>
        </is>
      </c>
      <c r="C13" s="3" t="inlineStr">
        <is>
          <t>前端会话仍为本机固定角色</t>
        </is>
      </c>
      <c r="D13" s="3" t="inlineStr">
        <is>
          <t>`apps/web/src/stores/session.ts` 使用固定本机用户，`can()` 恒返回 true；`api/control.ts` 支持开发身份，`OperationsView.vue` 还硬编码了服务器地址和 TLS 指纹。后端已有 JWT/RBAC 检查，因此不能从前端代码直接推断后端权限被绕过；但正式 UI 的登录态、能力提示及环境配置尚需补齐。任务 V1-29 应接入实际会话并移除生产开发身份，分别验证普通用户/管理员/未登录者，服务器信息从环境配置取得。</t>
        </is>
      </c>
      <c r="E13" s="3" t="inlineStr">
        <is>
          <t>静态证据+本轮运行；具体限制见正文</t>
        </is>
      </c>
      <c r="F13" s="3" t="inlineStr">
        <is>
          <t>待实施修复</t>
        </is>
      </c>
    </row>
  </sheetData>
  <autoFilter ref="A1:F13"/>
  <printOptions horizontalCentered="1"/>
  <pageMargins left="0.75" right="0.75" top="1" bottom="1" header="0.5" footer="0.5"/>
  <pageSetup orientation="landscape" paperSize="8" fitToHeight="0" fitToWidth="1"/>
  <headerFooter>
    <oddHeader/>
    <oddFooter>&amp;C第 &amp;P 页 / 共 &amp;N 页&amp;R2026-09-05 重审基线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17324D"/>
    <outlinePr summaryBelow="1" summaryRight="1"/>
    <pageSetUpPr fitToPage="1"/>
  </sheetPr>
  <dimension ref="A1:H5"/>
  <sheetViews>
    <sheetView showGridLines="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34" customWidth="1" min="2" max="2"/>
    <col width="62" customWidth="1" min="3" max="3"/>
    <col width="43" customWidth="1" min="4" max="4"/>
    <col width="55" customWidth="1" min="5" max="5"/>
    <col width="68" customWidth="1" min="6" max="6"/>
    <col width="57" customWidth="1" min="7" max="7"/>
    <col width="22" customWidth="1" min="8" max="8"/>
  </cols>
  <sheetData>
    <row r="1" ht="32" customHeight="1">
      <c r="A1" s="1" t="inlineStr">
        <is>
          <t>平台</t>
        </is>
      </c>
      <c r="B1" s="1" t="inlineStr">
        <is>
          <t>V1内容类型</t>
        </is>
      </c>
      <c r="C1" s="1" t="inlineStr">
        <is>
          <t>渠道方案</t>
        </is>
      </c>
      <c r="D1" s="1" t="inlineStr">
        <is>
          <t>当前安装版本</t>
        </is>
      </c>
      <c r="E1" s="1" t="inlineStr">
        <is>
          <t>现状</t>
        </is>
      </c>
      <c r="F1" s="1" t="inlineStr">
        <is>
          <t>实施关键点</t>
        </is>
      </c>
      <c r="G1" s="1" t="inlineStr">
        <is>
          <t>独立验收</t>
        </is>
      </c>
      <c r="H1" s="1" t="inlineStr">
        <is>
          <t>任务</t>
        </is>
      </c>
    </row>
    <row r="2" ht="112" customHeight="1">
      <c r="A2" s="2" t="inlineStr">
        <is>
          <t>闲鱼</t>
        </is>
      </c>
      <c r="B2" s="2" t="inlineStr">
        <is>
          <t>商品/多图/价格/运费/成色</t>
        </is>
      </c>
      <c r="C2" s="2" t="inlineStr">
        <is>
          <t>APK为当前基础；API需独立确认权限</t>
        </is>
      </c>
      <c r="D2" s="2" t="inlineStr">
        <is>
          <t>7.27.90</t>
        </is>
      </c>
      <c r="E2" s="2" t="inlineStr">
        <is>
          <t>预填代码已有，未最终提交</t>
        </is>
      </c>
      <c r="F2" s="2" t="inlineStr">
        <is>
          <t>身份/精确媒体/字段回读/permit/对账</t>
        </is>
      </c>
      <c r="G2" s="2" t="inlineStr">
        <is>
          <t>单次商品发布并核对列表/详情</t>
        </is>
      </c>
      <c r="H2" s="2" t="inlineStr">
        <is>
          <t>V1-18~22</t>
        </is>
      </c>
    </row>
    <row r="3" ht="112" customHeight="1">
      <c r="A3" s="3" t="inlineStr">
        <is>
          <t>小红书</t>
        </is>
      </c>
      <c r="B3" s="3" t="inlineStr">
        <is>
          <t>图文笔记</t>
        </is>
      </c>
      <c r="C3" s="3" t="inlineStr">
        <is>
          <t>先探测官方分享能力；必要时受控APK UI</t>
        </is>
      </c>
      <c r="D3" s="3" t="inlineStr">
        <is>
          <t>8.50.1</t>
        </is>
      </c>
      <c r="E3" s="3" t="inlineStr">
        <is>
          <t>仅安装，未接执行器</t>
        </is>
      </c>
      <c r="F3" s="3" t="inlineStr">
        <is>
          <t>分享成功不等于发布；标题正文/图序/账号</t>
        </is>
      </c>
      <c r="G3" s="3" t="inlineStr">
        <is>
          <t>笔记结果+审核状态；图文首验</t>
        </is>
      </c>
      <c r="H3" s="3" t="inlineStr">
        <is>
          <t>V1-23/24</t>
        </is>
      </c>
    </row>
    <row r="4" ht="112" customHeight="1">
      <c r="A4" s="2" t="inlineStr">
        <is>
          <t>抖音</t>
        </is>
      </c>
      <c r="B4" s="2" t="inlineStr">
        <is>
          <t>单视频作品</t>
        </is>
      </c>
      <c r="C4" s="2" t="inlineStr">
        <is>
          <t>有正式scope优先API；否则已授权UI路线</t>
        </is>
      </c>
      <c r="D4" s="2" t="inlineStr">
        <is>
          <t>39.6.0</t>
        </is>
      </c>
      <c r="E4" s="2" t="inlineStr">
        <is>
          <t>未核实video.create实际授权</t>
        </is>
      </c>
      <c r="F4" s="2" t="inlineStr">
        <is>
          <t>上传→创建→审核；提交后禁自动切渠道</t>
        </is>
      </c>
      <c r="G4" s="2" t="inlineStr">
        <is>
          <t>视频ID/作品核验/账号一致</t>
        </is>
      </c>
      <c r="H4" s="2" t="inlineStr">
        <is>
          <t>V1-23/25</t>
        </is>
      </c>
    </row>
    <row r="5" ht="112" customHeight="1">
      <c r="A5" s="3" t="inlineStr">
        <is>
          <t>微信公众号</t>
        </is>
      </c>
      <c r="B5" s="3" t="inlineStr">
        <is>
          <t>公众号图文文章</t>
        </is>
      </c>
      <c r="C5" s="3" t="inlineStr">
        <is>
          <t>先核实后台权限和当前官方文档</t>
        </is>
      </c>
      <c r="D5" s="3" t="inlineStr">
        <is>
          <t>微信8.0.76（非公众号能力证明）</t>
        </is>
      </c>
      <c r="E5" s="3" t="inlineStr">
        <is>
          <t>主体/权限未知；文档正文未取到</t>
        </is>
      </c>
      <c r="F5" s="3" t="inlineStr">
        <is>
          <t>草稿/发布/群发分开，不能默认个人微信能发</t>
        </is>
      </c>
      <c r="G5" s="3" t="inlineStr">
        <is>
          <t>文章ID/URL+状态；只有草稿不算done</t>
        </is>
      </c>
      <c r="H5" s="3" t="inlineStr">
        <is>
          <t>V1-23/26</t>
        </is>
      </c>
    </row>
  </sheetData>
  <autoFilter ref="A1:H5"/>
  <printOptions horizontalCentered="1"/>
  <pageMargins left="0.75" right="0.75" top="1" bottom="1" header="0.5" footer="0.5"/>
  <pageSetup orientation="landscape" paperSize="8" fitToHeight="0" fitToWidth="1"/>
  <headerFooter>
    <oddHeader/>
    <oddFooter>&amp;C第 &amp;P 页 / 共 &amp;N 页&amp;R2026-09-05 重审基线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0017324D"/>
    <outlinePr summaryBelow="1" summaryRight="1"/>
    <pageSetUpPr fitToPage="1"/>
  </sheetPr>
  <dimension ref="A1:E19"/>
  <sheetViews>
    <sheetView showGridLines="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75" customWidth="1" min="2" max="2"/>
    <col width="90" customWidth="1" min="3" max="3"/>
    <col width="20" customWidth="1" min="4" max="4"/>
    <col width="45" customWidth="1" min="5" max="5"/>
  </cols>
  <sheetData>
    <row r="1" ht="32" customHeight="1">
      <c r="A1" s="1" t="inlineStr">
        <is>
          <t>ID</t>
        </is>
      </c>
      <c r="B1" s="1" t="inlineStr">
        <is>
          <t>输入或故障</t>
        </is>
      </c>
      <c r="C1" s="1" t="inlineStr">
        <is>
          <t>期望结果</t>
        </is>
      </c>
      <c r="D1" s="1" t="inlineStr">
        <is>
          <t>执行状态</t>
        </is>
      </c>
      <c r="E1" s="1" t="inlineStr">
        <is>
          <t>证据</t>
        </is>
      </c>
    </row>
    <row r="2" ht="60" customHeight="1">
      <c r="A2" s="2" t="inlineStr">
        <is>
          <t>A01</t>
        </is>
      </c>
      <c r="B2" s="2" t="inlineStr">
        <is>
          <t>同来源记录同步两次</t>
        </is>
      </c>
      <c r="C2" s="2" t="inlineStr">
        <is>
          <t>业务 ID 不变，不增重复 revision/media</t>
        </is>
      </c>
      <c r="D2" s="2" t="inlineStr">
        <is>
          <t>未执行</t>
        </is>
      </c>
      <c r="E2" s="2" t="inlineStr"/>
    </row>
    <row r="3" ht="60" customHeight="1">
      <c r="A3" s="3" t="inlineStr">
        <is>
          <t>A02</t>
        </is>
      </c>
      <c r="B3" s="3" t="inlineStr">
        <is>
          <t>同外部 ID 不同租户</t>
        </is>
      </c>
      <c r="C3" s="3" t="inlineStr">
        <is>
          <t>数据隔离，媒体不可跨租户读取</t>
        </is>
      </c>
      <c r="D3" s="3" t="inlineStr">
        <is>
          <t>未执行</t>
        </is>
      </c>
      <c r="E3" s="3" t="inlineStr"/>
    </row>
    <row r="4" ht="60" customHeight="1">
      <c r="A4" s="2" t="inlineStr">
        <is>
          <t>A03</t>
        </is>
      </c>
      <c r="B4" s="2" t="inlineStr">
        <is>
          <t>游标提交前进程退出</t>
        </is>
      </c>
      <c r="C4" s="2" t="inlineStr">
        <is>
          <t>重跑无丢失无重复，页事务一致</t>
        </is>
      </c>
      <c r="D4" s="2" t="inlineStr">
        <is>
          <t>未执行</t>
        </is>
      </c>
      <c r="E4" s="2" t="inlineStr"/>
    </row>
    <row r="5" ht="60" customHeight="1">
      <c r="A5" s="3" t="inlineStr">
        <is>
          <t>A04</t>
        </is>
      </c>
      <c r="B5" s="3" t="inlineStr">
        <is>
          <t>商品编辑成功但媒体更新失败</t>
        </is>
      </c>
      <c r="C5" s="3" t="inlineStr">
        <is>
          <t>原子回滚或明确部分结果，不能误报全部保存</t>
        </is>
      </c>
      <c r="D5" s="3" t="inlineStr">
        <is>
          <t>未执行</t>
        </is>
      </c>
      <c r="E5" s="3" t="inlineStr"/>
    </row>
    <row r="6" ht="60" customHeight="1">
      <c r="A6" s="2" t="inlineStr">
        <is>
          <t>A05</t>
        </is>
      </c>
      <c r="B6" s="2" t="inlineStr">
        <is>
          <t>计划确认后来源库修改</t>
        </is>
      </c>
      <c r="C6" s="2" t="inlineStr">
        <is>
          <t>已确认目标继续使用旧快照，新计划显示新版本</t>
        </is>
      </c>
      <c r="D6" s="2" t="inlineStr">
        <is>
          <t>未执行</t>
        </is>
      </c>
      <c r="E6" s="2" t="inlineStr"/>
    </row>
    <row r="7" ht="60" customHeight="1">
      <c r="A7" s="3" t="inlineStr">
        <is>
          <t>A06</t>
        </is>
      </c>
      <c r="B7" s="3" t="inlineStr">
        <is>
          <t>相册干扰图/相机入口/倒序</t>
        </is>
      </c>
      <c r="C7" s="3" t="inlineStr">
        <is>
          <t>只选本次素材、顺序正确</t>
        </is>
      </c>
      <c r="D7" s="3" t="inlineStr">
        <is>
          <t>未执行</t>
        </is>
      </c>
      <c r="E7" s="3" t="inlineStr"/>
    </row>
    <row r="8" ht="60" customHeight="1">
      <c r="A8" s="2" t="inlineStr">
        <is>
          <t>A07</t>
        </is>
      </c>
      <c r="B8" s="2" t="inlineStr">
        <is>
          <t>手机切到另一个平台账号</t>
        </is>
      </c>
      <c r="C8" s="2" t="inlineStr">
        <is>
          <t>`ACCOUNT_MISMATCH`，无提交动作</t>
        </is>
      </c>
      <c r="D8" s="2" t="inlineStr">
        <is>
          <t>未执行</t>
        </is>
      </c>
      <c r="E8" s="2" t="inlineStr"/>
    </row>
    <row r="9" ht="60" customHeight="1">
      <c r="A9" s="3" t="inlineStr">
        <is>
          <t>A08</t>
        </is>
      </c>
      <c r="B9" s="3" t="inlineStr">
        <is>
          <t>双击发布/请求超时重试</t>
        </is>
      </c>
      <c r="C9" s="3" t="inlineStr">
        <is>
          <t>同一个 plan/target，最多一次最终动作</t>
        </is>
      </c>
      <c r="D9" s="3" t="inlineStr">
        <is>
          <t>未执行</t>
        </is>
      </c>
      <c r="E9" s="3" t="inlineStr"/>
    </row>
    <row r="10" ht="60" customHeight="1">
      <c r="A10" s="2" t="inlineStr">
        <is>
          <t>A09</t>
        </is>
      </c>
      <c r="B10" s="2" t="inlineStr">
        <is>
          <t>提交后断网或杀进程</t>
        </is>
      </c>
      <c r="C10" s="2" t="inlineStr">
        <is>
          <t>恢复只对账；无法确认则 UNKNOWN</t>
        </is>
      </c>
      <c r="D10" s="2" t="inlineStr">
        <is>
          <t>未执行</t>
        </is>
      </c>
      <c r="E10" s="2" t="inlineStr"/>
    </row>
    <row r="11" ht="60" customHeight="1">
      <c r="A11" s="3" t="inlineStr">
        <is>
          <t>A10</t>
        </is>
      </c>
      <c r="B11" s="3" t="inlineStr">
        <is>
          <t>重复/乱序/旧 fence 回执</t>
        </is>
      </c>
      <c r="C11" s="3" t="inlineStr">
        <is>
          <t>去重或拒绝，终态不倒退</t>
        </is>
      </c>
      <c r="D11" s="3" t="inlineStr">
        <is>
          <t>未执行</t>
        </is>
      </c>
      <c r="E11" s="3" t="inlineStr"/>
    </row>
    <row r="12" ht="60" customHeight="1">
      <c r="A12" s="2" t="inlineStr">
        <is>
          <t>A11</t>
        </is>
      </c>
      <c r="B12" s="2" t="inlineStr">
        <is>
          <t>取消准备中目标</t>
        </is>
      </c>
      <c r="C12" s="2" t="inlineStr">
        <is>
          <t>不触发提交，清理本任务文件</t>
        </is>
      </c>
      <c r="D12" s="2" t="inlineStr">
        <is>
          <t>未执行</t>
        </is>
      </c>
      <c r="E12" s="2" t="inlineStr"/>
    </row>
    <row r="13" ht="60" customHeight="1">
      <c r="A13" s="3" t="inlineStr">
        <is>
          <t>A12</t>
        </is>
      </c>
      <c r="B13" s="3" t="inlineStr">
        <is>
          <t>取消提交中目标</t>
        </is>
      </c>
      <c r="C13" s="3" t="inlineStr">
        <is>
          <t>不承诺撤回，继续对账显示实际结果</t>
        </is>
      </c>
      <c r="D13" s="3" t="inlineStr">
        <is>
          <t>未执行</t>
        </is>
      </c>
      <c r="E13" s="3" t="inlineStr"/>
    </row>
    <row r="14" ht="60" customHeight="1">
      <c r="A14" s="2" t="inlineStr">
        <is>
          <t>A13</t>
        </is>
      </c>
      <c r="B14" s="2" t="inlineStr">
        <is>
          <t>四平台批次一个失败</t>
        </is>
      </c>
      <c r="C14" s="2" t="inlineStr">
        <is>
          <t>其他目标正常；汇总部分失败，不重发成功项</t>
        </is>
      </c>
      <c r="D14" s="2" t="inlineStr">
        <is>
          <t>未执行</t>
        </is>
      </c>
      <c r="E14" s="2" t="inlineStr"/>
    </row>
    <row r="15" ht="60" customHeight="1">
      <c r="A15" s="3" t="inlineStr">
        <is>
          <t>A14</t>
        </is>
      </c>
      <c r="B15" s="3" t="inlineStr">
        <is>
          <t>断开 USB、停开发 Edge、手机用独立网络</t>
        </is>
      </c>
      <c r="C15" s="3" t="inlineStr">
        <is>
          <t>APK 能收取任务、回传；不依赖本机端口转发</t>
        </is>
      </c>
      <c r="D15" s="3" t="inlineStr">
        <is>
          <t>未执行</t>
        </is>
      </c>
      <c r="E15" s="3" t="inlineStr"/>
    </row>
    <row r="16" ht="60" customHeight="1">
      <c r="A16" s="2" t="inlineStr">
        <is>
          <t>A15</t>
        </is>
      </c>
      <c r="B16" s="2" t="inlineStr">
        <is>
          <t>平台回传“审核中”</t>
        </is>
      </c>
      <c r="C16" s="2" t="inlineStr">
        <is>
          <t>显示审核中；不提前标公开发布</t>
        </is>
      </c>
      <c r="D16" s="2" t="inlineStr">
        <is>
          <t>未执行</t>
        </is>
      </c>
      <c r="E16" s="2" t="inlineStr"/>
    </row>
    <row r="17" ht="60" customHeight="1">
      <c r="A17" s="3" t="inlineStr">
        <is>
          <t>A16</t>
        </is>
      </c>
      <c r="B17" s="3" t="inlineStr">
        <is>
          <t>公众号只有草稿权限</t>
        </is>
      </c>
      <c r="C17" s="3" t="inlineStr">
        <is>
          <t>DRAFT_SAVED / 权限阻塞，不能称发布完成</t>
        </is>
      </c>
      <c r="D17" s="3" t="inlineStr">
        <is>
          <t>未执行</t>
        </is>
      </c>
      <c r="E17" s="3" t="inlineStr"/>
    </row>
    <row r="18" ht="60" customHeight="1">
      <c r="A18" s="2" t="inlineStr">
        <is>
          <t>A17</t>
        </is>
      </c>
      <c r="B18" s="2" t="inlineStr">
        <is>
          <t>媒体 hash 错、空间不足、URL 过期</t>
        </is>
      </c>
      <c r="C18" s="2" t="inlineStr">
        <is>
          <t>明确错误，平台不选图、不提交</t>
        </is>
      </c>
      <c r="D18" s="2" t="inlineStr">
        <is>
          <t>未执行</t>
        </is>
      </c>
      <c r="E18" s="2" t="inlineStr"/>
    </row>
    <row r="19" ht="60" customHeight="1">
      <c r="A19" s="3" t="inlineStr">
        <is>
          <t>A18</t>
        </is>
      </c>
      <c r="B19" s="3" t="inlineStr">
        <is>
          <t>release 安装后重启/升级</t>
        </is>
      </c>
      <c r="C19" s="3" t="inlineStr">
        <is>
          <t>原绑定与本地任务恢复，签名和版本可核对</t>
        </is>
      </c>
      <c r="D19" s="3" t="inlineStr">
        <is>
          <t>未执行</t>
        </is>
      </c>
      <c r="E19" s="3" t="inlineStr"/>
    </row>
  </sheetData>
  <autoFilter ref="A1:E19"/>
  <printOptions horizontalCentered="1"/>
  <pageMargins left="0.75" right="0.75" top="1" bottom="1" header="0.5" footer="0.5"/>
  <pageSetup orientation="landscape" paperSize="8" fitToHeight="0" fitToWidth="1"/>
  <headerFooter>
    <oddHeader/>
    <oddFooter>&amp;C第 &amp;P 页 / 共 &amp;N 页&amp;R2026-09-05 重审基线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tabColor rgb="0017324D"/>
    <outlinePr summaryBelow="1" summaryRight="1"/>
    <pageSetUpPr fitToPage="1"/>
  </sheetPr>
  <dimension ref="A1:F18"/>
  <sheetViews>
    <sheetView showGridLines="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24" customWidth="1" min="2" max="2"/>
    <col width="45" customWidth="1" min="3" max="3"/>
    <col width="14" customWidth="1" min="4" max="4"/>
    <col width="46" customWidth="1" min="5" max="5"/>
    <col width="85" customWidth="1" min="6" max="6"/>
  </cols>
  <sheetData>
    <row r="1" ht="32" customHeight="1">
      <c r="A1" s="1" t="inlineStr">
        <is>
          <t>检查</t>
        </is>
      </c>
      <c r="B1" s="1" t="inlineStr">
        <is>
          <t>结果</t>
        </is>
      </c>
      <c r="C1" s="1" t="inlineStr">
        <is>
          <t>明细</t>
        </is>
      </c>
      <c r="D1" s="1" t="inlineStr">
        <is>
          <t>退出码</t>
        </is>
      </c>
      <c r="E1" s="1" t="inlineStr">
        <is>
          <t>日志</t>
        </is>
      </c>
      <c r="F1" s="1" t="inlineStr">
        <is>
          <t>限制</t>
        </is>
      </c>
    </row>
    <row r="2" ht="65" customHeight="1">
      <c r="A2" s="2" t="inlineStr">
        <is>
          <t>Python 测试</t>
        </is>
      </c>
      <c r="B2" s="2" t="inlineStr">
        <is>
          <t>通过</t>
        </is>
      </c>
      <c r="C2" s="2" t="inlineStr">
        <is>
          <t>392 passed</t>
        </is>
      </c>
      <c r="D2" s="2" t="n">
        <v>0</v>
      </c>
      <c r="E2" s="2" t="inlineStr">
        <is>
          <t>pytest.log</t>
        </is>
      </c>
      <c r="F2" s="2" t="inlineStr">
        <is>
          <t>本地pytest；不代表真实平台结果</t>
        </is>
      </c>
    </row>
    <row r="3" ht="65" customHeight="1">
      <c r="A3" s="3" t="inlineStr">
        <is>
          <t>Web 单测（清理后）</t>
        </is>
      </c>
      <c r="B3" s="3" t="inlineStr">
        <is>
          <t>通过</t>
        </is>
      </c>
      <c r="C3" s="3" t="inlineStr">
        <is>
          <t>40 passed</t>
        </is>
      </c>
      <c r="D3" s="3" t="n">
        <v>0</v>
      </c>
      <c r="E3" s="3" t="inlineStr">
        <is>
          <t>web-tests-after-cleanup.log</t>
        </is>
      </c>
      <c r="F3" s="3" t="inlineStr">
        <is>
          <t>保留全部有效测试</t>
        </is>
      </c>
    </row>
    <row r="4" ht="65" customHeight="1">
      <c r="A4" s="2" t="inlineStr">
        <is>
          <t>Studio 单测</t>
        </is>
      </c>
      <c r="B4" s="2" t="inlineStr">
        <is>
          <t>通过</t>
        </is>
      </c>
      <c r="C4" s="2" t="inlineStr">
        <is>
          <t>16 passed</t>
        </is>
      </c>
      <c r="D4" s="2" t="n">
        <v>0</v>
      </c>
      <c r="E4" s="2" t="inlineStr">
        <is>
          <t>web-tests.log</t>
        </is>
      </c>
      <c r="F4" s="2" t="inlineStr">
        <is>
          <t>软件测试替身</t>
        </is>
      </c>
    </row>
    <row r="5" ht="65" customHeight="1">
      <c r="A5" s="3" t="inlineStr">
        <is>
          <t>TS 类型（清理后）</t>
        </is>
      </c>
      <c r="B5" s="3" t="inlineStr">
        <is>
          <t>通过</t>
        </is>
      </c>
      <c r="C5" s="3" t="inlineStr">
        <is>
          <t>Web/Studio/合同通过</t>
        </is>
      </c>
      <c r="D5" s="3" t="n">
        <v>0</v>
      </c>
      <c r="E5" s="3" t="inlineStr">
        <is>
          <t>typecheck-after-cleanup.log</t>
        </is>
      </c>
      <c r="F5" s="3" t="inlineStr">
        <is>
          <t>编译类型检查</t>
        </is>
      </c>
    </row>
    <row r="6" ht="65" customHeight="1">
      <c r="A6" s="2" t="inlineStr">
        <is>
          <t>Web/Studio 构建</t>
        </is>
      </c>
      <c r="B6" s="2" t="inlineStr">
        <is>
          <t>通过</t>
        </is>
      </c>
      <c r="C6" s="2" t="inlineStr">
        <is>
          <t>两应用构建通过</t>
        </is>
      </c>
      <c r="D6" s="2" t="n">
        <v>0</v>
      </c>
      <c r="E6" s="2" t="inlineStr">
        <is>
          <t>build.log</t>
        </is>
      </c>
      <c r="F6" s="2" t="inlineStr">
        <is>
          <t>Studio 大包警告</t>
        </is>
      </c>
    </row>
    <row r="7" ht="65" customHeight="1">
      <c r="A7" s="3" t="inlineStr">
        <is>
          <t>Companion 单测+lint</t>
        </is>
      </c>
      <c r="B7" s="3" t="inlineStr">
        <is>
          <t>通过</t>
        </is>
      </c>
      <c r="C7" s="3" t="inlineStr">
        <is>
          <t>41 tests / 14 suites；lint成功</t>
        </is>
      </c>
      <c r="D7" s="3" t="n">
        <v>0</v>
      </c>
      <c r="E7" s="3" t="inlineStr">
        <is>
          <t>android.log</t>
        </is>
      </c>
      <c r="F7" s="3" t="inlineStr">
        <is>
          <t>主机测试，无障碍真机未验收</t>
        </is>
      </c>
    </row>
    <row r="8" ht="65" customHeight="1">
      <c r="A8" s="2" t="inlineStr">
        <is>
          <t>Ruff</t>
        </is>
      </c>
      <c r="B8" s="2" t="inlineStr">
        <is>
          <t>失败</t>
        </is>
      </c>
      <c r="C8" s="2" t="inlineStr">
        <is>
          <t>24 errors</t>
        </is>
      </c>
      <c r="D8" s="2" t="n">
        <v>1</v>
      </c>
      <c r="E8" s="2" t="inlineStr">
        <is>
          <t>ruff.log</t>
        </is>
      </c>
      <c r="F8" s="2" t="inlineStr">
        <is>
          <t>原始静态检查</t>
        </is>
      </c>
    </row>
    <row r="9" ht="65" customHeight="1">
      <c r="A9" s="3" t="inlineStr">
        <is>
          <t>格式检查</t>
        </is>
      </c>
      <c r="B9" s="3" t="inlineStr">
        <is>
          <t>失败</t>
        </is>
      </c>
      <c r="C9" s="3" t="inlineStr">
        <is>
          <t>27 files</t>
        </is>
      </c>
      <c r="D9" s="3" t="n">
        <v>1</v>
      </c>
      <c r="E9" s="3" t="inlineStr">
        <is>
          <t>format.log</t>
        </is>
      </c>
      <c r="F9" s="3" t="inlineStr">
        <is>
          <t>未为审计做批量格式改写</t>
        </is>
      </c>
    </row>
    <row r="10" ht="65" customHeight="1">
      <c r="A10" s="2" t="inlineStr">
        <is>
          <t>Pyright</t>
        </is>
      </c>
      <c r="B10" s="2" t="inlineStr">
        <is>
          <t>失败</t>
        </is>
      </c>
      <c r="C10" s="2" t="inlineStr">
        <is>
          <t>12 errors</t>
        </is>
      </c>
      <c r="D10" s="2" t="n">
        <v>1</v>
      </c>
      <c r="E10" s="2" t="inlineStr">
        <is>
          <t>pyright.log</t>
        </is>
      </c>
      <c r="F10" s="2" t="inlineStr">
        <is>
          <t>Edge/Outbox类型合同待修</t>
        </is>
      </c>
    </row>
    <row r="11" ht="65" customHeight="1">
      <c r="A11" s="3" t="inlineStr">
        <is>
          <t>Web lint（清理后）</t>
        </is>
      </c>
      <c r="B11" s="3" t="inlineStr">
        <is>
          <t>失败</t>
        </is>
      </c>
      <c r="C11" s="3" t="inlineStr">
        <is>
          <t>4 errors</t>
        </is>
      </c>
      <c r="D11" s="3" t="n">
        <v>1</v>
      </c>
      <c r="E11" s="3" t="inlineStr">
        <is>
          <t>web-lint-after-cleanup.log</t>
        </is>
      </c>
      <c r="F11" s="3" t="inlineStr">
        <is>
          <t>原5个，去掉1个无用测试变量</t>
        </is>
      </c>
    </row>
    <row r="12" ht="65" customHeight="1">
      <c r="A12" s="2" t="inlineStr">
        <is>
          <t>安全扫描</t>
        </is>
      </c>
      <c r="B12" s="2" t="inlineStr">
        <is>
          <t>无效/需重验</t>
        </is>
      </c>
      <c r="C12" s="2" t="inlineStr">
        <is>
          <t>退出0，grep报错</t>
        </is>
      </c>
      <c r="D12" s="2" t="n">
        <v>0</v>
      </c>
      <c r="E12" s="2" t="inlineStr">
        <is>
          <t>security.log</t>
        </is>
      </c>
      <c r="F12" s="2" t="inlineStr">
        <is>
          <t>不能视为所有扫描规则通过</t>
        </is>
      </c>
    </row>
    <row r="13" ht="65" customHeight="1">
      <c r="A13" s="3" t="inlineStr">
        <is>
          <t>默认E2E</t>
        </is>
      </c>
      <c r="B13" s="3" t="inlineStr">
        <is>
          <t>环境污染</t>
        </is>
      </c>
      <c r="C13" s="3" t="inlineStr">
        <is>
          <t>4173复用其他项目</t>
        </is>
      </c>
      <c r="D13" s="3" t="n">
        <v>1</v>
      </c>
      <c r="E13" s="3" t="inlineStr">
        <is>
          <t>e2e.log</t>
        </is>
      </c>
      <c r="F13" s="3" t="inlineStr">
        <is>
          <t>不作为本项目失败数量；Studio未运行</t>
        </is>
      </c>
    </row>
    <row r="14" ht="65" customHeight="1">
      <c r="A14" s="2" t="inlineStr">
        <is>
          <t>独立端口Web smoke</t>
        </is>
      </c>
      <c r="B14" s="2" t="inlineStr">
        <is>
          <t>部分失败</t>
        </is>
      </c>
      <c r="C14" s="2" t="inlineStr">
        <is>
          <t>16通过/4失败/8既有跳过</t>
        </is>
      </c>
      <c r="D14" s="2" t="n">
        <v>1</v>
      </c>
      <c r="E14" s="2" t="inlineStr">
        <is>
          <t>e2e-isolated.log</t>
        </is>
      </c>
      <c r="F14" s="2" t="inlineStr">
        <is>
          <t>两处非精确文本定位器；不是已确认滚动故障</t>
        </is>
      </c>
    </row>
    <row r="15" ht="65" customHeight="1">
      <c r="A15" s="3" t="inlineStr">
        <is>
          <t>商品专用E2E</t>
        </is>
      </c>
      <c r="B15" s="3" t="inlineStr">
        <is>
          <t>通过</t>
        </is>
      </c>
      <c r="C15" s="3" t="inlineStr">
        <is>
          <t>1 passed</t>
        </is>
      </c>
      <c r="D15" s="3" t="n">
        <v>0</v>
      </c>
      <c r="E15" s="3" t="inlineStr">
        <is>
          <t>e2e-product.log</t>
        </is>
      </c>
      <c r="F15" s="3" t="inlineStr">
        <is>
          <t>API拦截用例，不是真实数据库到真机</t>
        </is>
      </c>
    </row>
    <row r="16" ht="65" customHeight="1">
      <c r="A16" s="2" t="inlineStr">
        <is>
          <t>真机盘点</t>
        </is>
      </c>
      <c r="B16" s="2" t="inlineStr">
        <is>
          <t>通过</t>
        </is>
      </c>
      <c r="C16" s="2" t="inlineStr">
        <is>
          <t>OnePlus Android14；四App已安装</t>
        </is>
      </c>
      <c r="D16" s="2" t="n">
        <v>0</v>
      </c>
      <c r="E16" s="2" t="inlineStr">
        <is>
          <t>device.json</t>
        </is>
      </c>
      <c r="F16" s="2" t="inlineStr">
        <is>
          <t>项目无障碍服务未启用</t>
        </is>
      </c>
    </row>
    <row r="17" ht="65" customHeight="1">
      <c r="A17" s="3" t="inlineStr">
        <is>
          <t>本地API只读访问</t>
        </is>
      </c>
      <c r="B17" s="3" t="inlineStr">
        <is>
          <t>通过</t>
        </is>
      </c>
      <c r="C17" s="3" t="inlineStr">
        <is>
          <t>OpenAPI 111 paths</t>
        </is>
      </c>
      <c r="D17" s="3" t="n">
        <v>0</v>
      </c>
      <c r="E17" s="3" t="inlineStr">
        <is>
          <t>live-api-summary.json</t>
        </is>
      </c>
      <c r="F17" s="3" t="inlineStr">
        <is>
          <t>部署版本/外部来源未核实</t>
        </is>
      </c>
    </row>
    <row r="18" ht="65" customHeight="1">
      <c r="A18" s="2" t="inlineStr">
        <is>
          <t>四平台真实发布</t>
        </is>
      </c>
      <c r="B18" s="2" t="inlineStr">
        <is>
          <t>未执行</t>
        </is>
      </c>
      <c r="C18" s="2" t="inlineStr">
        <is>
          <t>0/4平台本轮完整验收</t>
        </is>
      </c>
      <c r="D18" s="2" t="n"/>
      <c r="E18" s="2" t="inlineStr"/>
      <c r="F18" s="2" t="inlineStr">
        <is>
          <t>本轮审核没有发布外部内容</t>
        </is>
      </c>
    </row>
  </sheetData>
  <autoFilter ref="A1:F18"/>
  <printOptions horizontalCentered="1"/>
  <pageMargins left="0.75" right="0.75" top="1" bottom="1" header="0.5" footer="0.5"/>
  <pageSetup orientation="landscape" paperSize="8" fitToHeight="0" fitToWidth="1"/>
  <headerFooter>
    <oddHeader/>
    <oddFooter>&amp;C第 &amp;P 页 / 共 &amp;N 页&amp;R2026-09-05 重审基线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tabColor rgb="0017324D"/>
    <outlinePr summaryBelow="1" summaryRight="1"/>
    <pageSetUpPr fitToPage="1"/>
  </sheetPr>
  <dimension ref="A1:G8"/>
  <sheetViews>
    <sheetView showGridLines="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50" customWidth="1" min="2" max="2"/>
    <col width="20" customWidth="1" min="3" max="3"/>
    <col width="68" customWidth="1" min="4" max="4"/>
    <col width="25" customWidth="1" min="5" max="5"/>
    <col width="24" customWidth="1" min="6" max="6"/>
    <col width="50" customWidth="1" min="7" max="7"/>
  </cols>
  <sheetData>
    <row r="1" ht="32" customHeight="1">
      <c r="A1" s="1" t="inlineStr">
        <is>
          <t>ID</t>
        </is>
      </c>
      <c r="B1" s="1" t="inlineStr">
        <is>
          <t>待确认</t>
        </is>
      </c>
      <c r="C1" s="1" t="inlineStr">
        <is>
          <t>提供人</t>
        </is>
      </c>
      <c r="D1" s="1" t="inlineStr">
        <is>
          <t>所需输入</t>
        </is>
      </c>
      <c r="E1" s="1" t="inlineStr">
        <is>
          <t>阻塞任务</t>
        </is>
      </c>
      <c r="F1" s="1" t="inlineStr">
        <is>
          <t>状态</t>
        </is>
      </c>
      <c r="G1" s="1" t="inlineStr">
        <is>
          <t>独立推进</t>
        </is>
      </c>
    </row>
    <row r="2" ht="65" customHeight="1">
      <c r="A2" s="2" t="inlineStr">
        <is>
          <t>U01</t>
        </is>
      </c>
      <c r="B2" s="2" t="inlineStr">
        <is>
          <t>商品库在哪、主键和字段是什么</t>
        </is>
      </c>
      <c r="C2" s="2" t="inlineStr">
        <is>
          <t>来源管理员</t>
        </is>
      </c>
      <c r="D2" s="2" t="inlineStr">
        <is>
          <t>库类型/只读入口/10条脱敏样本</t>
        </is>
      </c>
      <c r="E2" s="2" t="inlineStr">
        <is>
          <t>V1-03/05/06</t>
        </is>
      </c>
      <c r="F2" s="2" t="inlineStr">
        <is>
          <t>未确认</t>
        </is>
      </c>
      <c r="G2" s="2" t="inlineStr">
        <is>
          <t>平台核心开发可继续</t>
        </is>
      </c>
    </row>
    <row r="3" ht="65" customHeight="1">
      <c r="A3" s="3" t="inlineStr">
        <is>
          <t>U02</t>
        </is>
      </c>
      <c r="B3" s="3" t="inlineStr">
        <is>
          <t>素材库原文件如何访问</t>
        </is>
      </c>
      <c r="C3" s="3" t="inlineStr">
        <is>
          <t>来源管理员</t>
        </is>
      </c>
      <c r="D3" s="3" t="inlineStr">
        <is>
          <t>20条样本/附件获取/大小/游标</t>
        </is>
      </c>
      <c r="E3" s="3" t="inlineStr">
        <is>
          <t>V1-03/05/06</t>
        </is>
      </c>
      <c r="F3" s="3" t="inlineStr">
        <is>
          <t>未确认</t>
        </is>
      </c>
      <c r="G3" s="3" t="inlineStr">
        <is>
          <t>不把缩略图当原件</t>
        </is>
      </c>
    </row>
    <row r="4" ht="65" customHeight="1">
      <c r="A4" s="2" t="inlineStr">
        <is>
          <t>U03</t>
        </is>
      </c>
      <c r="B4" s="2" t="inlineStr">
        <is>
          <t>四平台账号授权与能力</t>
        </is>
      </c>
      <c r="C4" s="2" t="inlineStr">
        <is>
          <t>账号管理员</t>
        </is>
      </c>
      <c r="D4" s="2" t="inlineStr">
        <is>
          <t>账号指纹/当前scope/到期/允许模式</t>
        </is>
      </c>
      <c r="E4" s="2" t="inlineStr">
        <is>
          <t>V1-12/23~26</t>
        </is>
      </c>
      <c r="F4" s="2" t="inlineStr">
        <is>
          <t>未确认</t>
        </is>
      </c>
      <c r="G4" s="2" t="inlineStr">
        <is>
          <t>只阻塞权限不明的平台</t>
        </is>
      </c>
    </row>
    <row r="5" ht="65" customHeight="1">
      <c r="A5" s="3" t="inlineStr">
        <is>
          <t>U04</t>
        </is>
      </c>
      <c r="B5" s="3" t="inlineStr">
        <is>
          <t>公众号主体、发布和草稿权限</t>
        </is>
      </c>
      <c r="C5" s="3" t="inlineStr">
        <is>
          <t>公众号管理员</t>
        </is>
      </c>
      <c r="D5" s="3" t="inlineStr">
        <is>
          <t>后台权限截图或脱敏接口结果</t>
        </is>
      </c>
      <c r="E5" s="3" t="inlineStr">
        <is>
          <t>V1-26</t>
        </is>
      </c>
      <c r="F5" s="3" t="inlineStr">
        <is>
          <t>未确认</t>
        </is>
      </c>
      <c r="G5" s="3" t="inlineStr">
        <is>
          <t>微信安装不等于公众号授权</t>
        </is>
      </c>
    </row>
    <row r="6" ht="65" customHeight="1">
      <c r="A6" s="2" t="inlineStr">
        <is>
          <t>U05</t>
        </is>
      </c>
      <c r="B6" s="2" t="inlineStr">
        <is>
          <t>真机绑定环境和无障碍服务</t>
        </is>
      </c>
      <c r="C6" s="2" t="inlineStr">
        <is>
          <t>设备管理员</t>
        </is>
      </c>
      <c r="D6" s="2" t="inlineStr">
        <is>
          <t>确认环境、启用项目服务、只读回执</t>
        </is>
      </c>
      <c r="E6" s="2" t="inlineStr">
        <is>
          <t>V1-04</t>
        </is>
      </c>
      <c r="F6" s="2" t="inlineStr">
        <is>
          <t>服务未启用</t>
        </is>
      </c>
      <c r="G6" s="2" t="inlineStr">
        <is>
          <t>ADB盘点已完成</t>
        </is>
      </c>
    </row>
    <row r="7" ht="65" customHeight="1">
      <c r="A7" s="3" t="inlineStr">
        <is>
          <t>U06</t>
        </is>
      </c>
      <c r="B7" s="3" t="inlineStr">
        <is>
          <t>实际商品/素材格式及规模</t>
        </is>
      </c>
      <c r="C7" s="3" t="inlineStr">
        <is>
          <t>业务负责人</t>
        </is>
      </c>
      <c r="D7" s="3" t="inlineStr">
        <is>
          <t>原始样本、容量、并发账号数量</t>
        </is>
      </c>
      <c r="E7" s="3" t="inlineStr">
        <is>
          <t>V1-08/23/28</t>
        </is>
      </c>
      <c r="F7" s="3" t="inlineStr">
        <is>
          <t>未确认</t>
        </is>
      </c>
      <c r="G7" s="3" t="inlineStr">
        <is>
          <t>先一设备/一账号串行</t>
        </is>
      </c>
    </row>
    <row r="8" ht="65" customHeight="1">
      <c r="A8" s="2" t="inlineStr">
        <is>
          <t>U07</t>
        </is>
      </c>
      <c r="B8" s="2" t="inlineStr">
        <is>
          <t>Release签名及生产部署归属</t>
        </is>
      </c>
      <c r="C8" s="2" t="inlineStr">
        <is>
          <t>部署管理员</t>
        </is>
      </c>
      <c r="D8" s="2" t="inlineStr">
        <is>
          <t>secret_ref/环境地址/备份位置</t>
        </is>
      </c>
      <c r="E8" s="2" t="inlineStr">
        <is>
          <t>V1-29</t>
        </is>
      </c>
      <c r="F8" s="2" t="inlineStr">
        <is>
          <t>未确认</t>
        </is>
      </c>
      <c r="G8" s="2" t="inlineStr">
        <is>
          <t>不复制明文密钥到计划</t>
        </is>
      </c>
    </row>
  </sheetData>
  <autoFilter ref="A1:G8"/>
  <printOptions horizontalCentered="1"/>
  <pageMargins left="0.75" right="0.75" top="1" bottom="1" header="0.5" footer="0.5"/>
  <pageSetup orientation="landscape" paperSize="8" fitToHeight="0" fitToWidth="1"/>
  <headerFooter>
    <oddHeader/>
    <oddFooter>&amp;C第 &amp;P 页 / 共 &amp;N 页&amp;R2026-09-05 重审基线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tabColor rgb="0017324D"/>
    <outlinePr summaryBelow="1" summaryRight="1"/>
    <pageSetUpPr fitToPage="1"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  <col width="48" customWidth="1" min="2" max="2"/>
    <col width="76" customWidth="1" min="3" max="3"/>
    <col width="80" customWidth="1" min="4" max="4"/>
  </cols>
  <sheetData>
    <row r="1" ht="32" customHeight="1">
      <c r="A1" s="1" t="inlineStr">
        <is>
          <t>原路径</t>
        </is>
      </c>
      <c r="B1" s="1" t="inlineStr">
        <is>
          <t>处理</t>
        </is>
      </c>
      <c r="C1" s="1" t="inlineStr">
        <is>
          <t>原SHA256</t>
        </is>
      </c>
      <c r="D1" s="1" t="inlineStr">
        <is>
          <t>恢复方式</t>
        </is>
      </c>
    </row>
    <row r="2" ht="50" customHeight="1">
      <c r="A2" s="2" t="inlineStr">
        <is>
          <t>cloudctl-source/apps/web/src/api/client.ts</t>
        </is>
      </c>
      <c r="B2" s="2" t="inlineStr">
        <is>
          <t>移除孤立mock或旧计划/制表产物</t>
        </is>
      </c>
      <c r="C2" s="2" t="inlineStr">
        <is>
          <t>332b9c34f787bfdc6409581c15ed1421fe19cffa947a6ca31c31f1c6151dbab2</t>
        </is>
      </c>
      <c r="D2" s="2" t="inlineStr">
        <is>
          <t>artifacts/review-20260905/cleanup-backup.zip 内原相对路径</t>
        </is>
      </c>
    </row>
    <row r="3" ht="50" customHeight="1">
      <c r="A3" s="3" t="inlineStr">
        <is>
          <t>cloudctl-source/apps/web/src/data/mock.ts</t>
        </is>
      </c>
      <c r="B3" s="3" t="inlineStr">
        <is>
          <t>移除孤立mock或旧计划/制表产物</t>
        </is>
      </c>
      <c r="C3" s="3" t="inlineStr">
        <is>
          <t>e3a2ec32b94c556ee7a03ab9d4920916d891fddc5c161525d100489fd37e93f9</t>
        </is>
      </c>
      <c r="D3" s="3" t="inlineStr">
        <is>
          <t>artifacts/review-20260905/cleanup-backup.zip 内原相对路径</t>
        </is>
      </c>
    </row>
    <row r="4" ht="50" customHeight="1">
      <c r="A4" s="2" t="inlineStr">
        <is>
          <t>cloudctl-source/apps/web/tests/operations-live.spec.ts</t>
        </is>
      </c>
      <c r="B4" s="2" t="inlineStr">
        <is>
          <t>移除测试无用解构变量</t>
        </is>
      </c>
      <c r="C4" s="2" t="inlineStr">
        <is>
          <t>0ee59964b999d251b0263102d86703d64500a751f2bf1c6a51e6bd07e61a3f3e</t>
        </is>
      </c>
      <c r="D4" s="2" t="inlineStr">
        <is>
          <t>artifacts/review-20260905/cleanup-backup.zip 内原相对路径</t>
        </is>
      </c>
    </row>
    <row r="5" ht="50" customHeight="1">
      <c r="A5" s="3" t="inlineStr">
        <is>
          <t>cloudctl-source/docs/delivery/development-plan-v1-2026-09-05.md</t>
        </is>
      </c>
      <c r="B5" s="3" t="inlineStr">
        <is>
          <t>移除孤立mock或旧计划/制表产物</t>
        </is>
      </c>
      <c r="C5" s="3" t="inlineStr">
        <is>
          <t>2ace22b536c34c3367899b6b3420f67ef1bd719c0afb1f75a7227bbf9319aeba</t>
        </is>
      </c>
      <c r="D5" s="3" t="inlineStr">
        <is>
          <t>artifacts/review-20260905/cleanup-backup.zip 内原相对路径</t>
        </is>
      </c>
    </row>
    <row r="6" ht="50" customHeight="1">
      <c r="A6" s="2" t="inlineStr">
        <is>
          <t>LAMDA云控系统_V1开发进度表_20260905.xlsx</t>
        </is>
      </c>
      <c r="B6" s="2" t="inlineStr">
        <is>
          <t>移除孤立mock或旧计划/制表产物</t>
        </is>
      </c>
      <c r="C6" s="2" t="inlineStr">
        <is>
          <t>be7806e5e1d4b7ae1a7709d0d0554f66949e6e2bab4ed44eceecd60e84136268</t>
        </is>
      </c>
      <c r="D6" s="2" t="inlineStr">
        <is>
          <t>artifacts/review-20260905/cleanup-backup.zip 内原相对路径</t>
        </is>
      </c>
    </row>
    <row r="7" ht="50" customHeight="1">
      <c r="A7" s="3" t="inlineStr">
        <is>
          <t>LAMDA云控系统_V1开发进度表_20260905.xlsx.inspect.ndjson</t>
        </is>
      </c>
      <c r="B7" s="3" t="inlineStr">
        <is>
          <t>移除孤立mock或旧计划/制表产物</t>
        </is>
      </c>
      <c r="C7" s="3" t="inlineStr">
        <is>
          <t>b955089f185ff06689cdb42fb3541ca647c1aa1421631679b286562405097743</t>
        </is>
      </c>
      <c r="D7" s="3" t="inlineStr">
        <is>
          <t>artifacts/review-20260905/cleanup-backup.zip 内原相对路径</t>
        </is>
      </c>
    </row>
    <row r="8" ht="50" customHeight="1">
      <c r="A8" s="2" t="inlineStr">
        <is>
          <t>.sheet-work/create-plan.mjs</t>
        </is>
      </c>
      <c r="B8" s="2" t="inlineStr">
        <is>
          <t>移除孤立mock或旧计划/制表产物</t>
        </is>
      </c>
      <c r="C8" s="2" t="inlineStr">
        <is>
          <t>cae7d568c2830d67e5bd061aa131c66ca58f4150e6ced0d2c54df8b3bfef14a8</t>
        </is>
      </c>
      <c r="D8" s="2" t="inlineStr">
        <is>
          <t>artifacts/review-20260905/cleanup-backup.zip 内原相对路径</t>
        </is>
      </c>
    </row>
    <row r="9" ht="50" customHeight="1">
      <c r="A9" s="3" t="inlineStr">
        <is>
          <t>.sheet-work/rebuild-plan.mjs</t>
        </is>
      </c>
      <c r="B9" s="3" t="inlineStr">
        <is>
          <t>移除孤立mock或旧计划/制表产物</t>
        </is>
      </c>
      <c r="C9" s="3" t="inlineStr">
        <is>
          <t>8fccb44a837bcf4757682800e940bc83b6b17a5116355b42f557edb2c9060cd8</t>
        </is>
      </c>
      <c r="D9" s="3" t="inlineStr">
        <is>
          <t>artifacts/review-20260905/cleanup-backup.zip 内原相对路径</t>
        </is>
      </c>
    </row>
    <row r="10" ht="50" customHeight="1">
      <c r="A10" s="2" t="inlineStr">
        <is>
          <t>.sheet-work/update-progress.mjs</t>
        </is>
      </c>
      <c r="B10" s="2" t="inlineStr">
        <is>
          <t>移除孤立mock或旧计划/制表产物</t>
        </is>
      </c>
      <c r="C10" s="2" t="inlineStr">
        <is>
          <t>aa10890acb4a1a8e2c0a9e119aa49439f9b547b0671281c9edafb9e0c1fa6e1e</t>
        </is>
      </c>
      <c r="D10" s="2" t="inlineStr">
        <is>
          <t>artifacts/review-20260905/cleanup-backup.zip 内原相对路径</t>
        </is>
      </c>
    </row>
  </sheetData>
  <autoFilter ref="A1:D10"/>
  <printOptions horizontalCentered="1"/>
  <pageMargins left="0.75" right="0.75" top="1" bottom="1" header="0.5" footer="0.5"/>
  <pageSetup orientation="landscape" paperSize="8" fitToHeight="0" fitToWidth="1"/>
  <headerFooter>
    <oddHeader/>
    <oddFooter>&amp;C第 &amp;P 页 / 共 &amp;N 页&amp;R2026-09-05 重审基线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2026-09-05T12:11:21Z</dcterms:created>
  <dcterms:modified xmlns:dcterms="http://purl.org/dc/terms/" xmlns:xsi="http://www.w3.org/2001/XMLSchema-instance" xsi:type="dcterms:W3CDTF">2026-09-05T15:13:05Z</dcterms:modified>
</cp:coreProperties>
</file>